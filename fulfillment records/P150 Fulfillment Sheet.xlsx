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50 List" sheetId="1" r:id="rId5"/>
    <sheet state="visible" name="Imported Info - Contact + Invoi" sheetId="2" r:id="rId6"/>
    <sheet state="visible" name="Imported Info - Invoices" sheetId="3" r:id="rId7"/>
    <sheet state="visible" name="Imported Info - Engravings" sheetId="4" r:id="rId8"/>
    <sheet state="visible" name="Imported Info - Purchaser List " sheetId="5" r:id="rId9"/>
    <sheet state="visible" name="Exclusive Names" sheetId="6" r:id="rId10"/>
  </sheets>
  <definedNames/>
  <calcPr/>
</workbook>
</file>

<file path=xl/sharedStrings.xml><?xml version="1.0" encoding="utf-8"?>
<sst xmlns="http://schemas.openxmlformats.org/spreadsheetml/2006/main" count="3322" uniqueCount="1269">
  <si>
    <t>Name</t>
  </si>
  <si>
    <t>PAYMENT STATUS (Coordination with Julie)</t>
  </si>
  <si>
    <t>Emailed 1c or 1d</t>
  </si>
  <si>
    <t>Purchase Date</t>
  </si>
  <si>
    <t>Transaction type</t>
  </si>
  <si>
    <t>#</t>
  </si>
  <si>
    <t>Due date</t>
  </si>
  <si>
    <t>Amount</t>
  </si>
  <si>
    <t>Open balance</t>
  </si>
  <si>
    <t>Batch #</t>
  </si>
  <si>
    <t>Units Purchased</t>
  </si>
  <si>
    <t>Serial Number</t>
  </si>
  <si>
    <t>Delivery Status New</t>
  </si>
  <si>
    <t>Delivery Status</t>
  </si>
  <si>
    <t>Delivery Date</t>
  </si>
  <si>
    <t>Color</t>
  </si>
  <si>
    <t>Address</t>
  </si>
  <si>
    <t>Phone Number</t>
  </si>
  <si>
    <t>Email</t>
  </si>
  <si>
    <t>Engraving Preference</t>
  </si>
  <si>
    <t>Engraving Text</t>
  </si>
  <si>
    <t>Notes</t>
  </si>
  <si>
    <t>Delivery Priority</t>
  </si>
  <si>
    <t>Emailed "2" email</t>
  </si>
  <si>
    <t>Junguo Liao</t>
  </si>
  <si>
    <t>Paid</t>
  </si>
  <si>
    <t>N/A</t>
  </si>
  <si>
    <t>Invoice</t>
  </si>
  <si>
    <t>1164</t>
  </si>
  <si>
    <t>1st Batch</t>
  </si>
  <si>
    <t>LL01-00000000020</t>
  </si>
  <si>
    <t>Hold Off</t>
  </si>
  <si>
    <t>Returned to Fix</t>
  </si>
  <si>
    <t>White</t>
  </si>
  <si>
    <t>17 Silk Court
Richmond Hill, ON
L4B 4A4</t>
  </si>
  <si>
    <t>647-467-1136</t>
  </si>
  <si>
    <t>jgliao@gmail.com</t>
  </si>
  <si>
    <t>Front (Bottom)</t>
  </si>
  <si>
    <t>-In China now, deliver in december 2025
-16th and bayview, sw corner
-Anytime is fine.</t>
  </si>
  <si>
    <t>Last</t>
  </si>
  <si>
    <t>Chris Birtch</t>
  </si>
  <si>
    <t>1c</t>
  </si>
  <si>
    <t>1148</t>
  </si>
  <si>
    <t xml:space="preserve"> </t>
  </si>
  <si>
    <t>LL01-00000000022</t>
  </si>
  <si>
    <t>930 Waterloo St
London, ON
N6A 3X3</t>
  </si>
  <si>
    <t>519-471-3406</t>
  </si>
  <si>
    <t>chris@aubretia.ca</t>
  </si>
  <si>
    <t>Base / No Response</t>
  </si>
  <si>
    <t>-busy with new baby, sep13 2024, update on sales traction, come on a weekend to hit Phil as well, grab BBQ or beer
-Also hosting party with Philip
-Anytime is fine.
-Other phone number 519-630-1553</t>
  </si>
  <si>
    <t>Annie Wu</t>
  </si>
  <si>
    <t>1008</t>
  </si>
  <si>
    <t>Black</t>
  </si>
  <si>
    <t>7 Pitkin Crt, North York, ON, M6M 2P4</t>
  </si>
  <si>
    <t>647-292-3585</t>
  </si>
  <si>
    <t>annie512@live.ca</t>
  </si>
  <si>
    <t>Not Sure</t>
  </si>
  <si>
    <t>Low</t>
  </si>
  <si>
    <t>Ask Raymond</t>
  </si>
  <si>
    <t>Yun Feng Zhang (William)</t>
  </si>
  <si>
    <t>1163</t>
  </si>
  <si>
    <t>LL01-00000000031</t>
  </si>
  <si>
    <t>Delivered</t>
  </si>
  <si>
    <t>Delivered &amp; Paid</t>
  </si>
  <si>
    <t>71 Cherrystone Drive
Toronto, ON
M2H 1S2</t>
  </si>
  <si>
    <t>647-867-3338</t>
  </si>
  <si>
    <t>williamzhang518@hotmail.com</t>
  </si>
  <si>
    <t>Yun Feng Zhang</t>
  </si>
  <si>
    <t>-Will bring a friend to visit</t>
  </si>
  <si>
    <t>Melody Tao</t>
  </si>
  <si>
    <t>1005</t>
  </si>
  <si>
    <t>N/A or IDK</t>
  </si>
  <si>
    <t>130 Burbank Dr., North York, ON, M2K 1N8</t>
  </si>
  <si>
    <t>347-757-1002</t>
  </si>
  <si>
    <t>melody.z.tao@gmail.com</t>
  </si>
  <si>
    <t>Front (Top)</t>
  </si>
  <si>
    <t>Annie Wang</t>
  </si>
  <si>
    <t>Yuzhou Chu (Mark &amp; Emma)</t>
  </si>
  <si>
    <t>1158</t>
  </si>
  <si>
    <t>LL01-00000000016</t>
  </si>
  <si>
    <t>191 Canyon Hill Ave
Richmond Hill, ON 
L4C 0R4</t>
  </si>
  <si>
    <t>226-972-8284</t>
  </si>
  <si>
    <t>chuyuzhou7293873@gmail.com</t>
  </si>
  <si>
    <t>Luna's Home</t>
  </si>
  <si>
    <t>-busy with tariff... Emma</t>
  </si>
  <si>
    <t>Huimin (Tony) Wang</t>
  </si>
  <si>
    <t>1215</t>
  </si>
  <si>
    <t>LL01-00000000030</t>
  </si>
  <si>
    <t>300A, Alden Road, Markham, ON</t>
  </si>
  <si>
    <t>416-668-3198</t>
  </si>
  <si>
    <t>tony@longtech.ca</t>
  </si>
  <si>
    <t/>
  </si>
  <si>
    <t>David Forster</t>
  </si>
  <si>
    <t>1137</t>
  </si>
  <si>
    <t>Other/Multiple</t>
  </si>
  <si>
    <t>Old: LL01-00000000019
New is:
LL01-00000000028
WILL GET A p150</t>
  </si>
  <si>
    <t>Returned</t>
  </si>
  <si>
    <t>Invoice Sent, Not Scheduled</t>
  </si>
  <si>
    <t>7143 Silver Creek Cir.
London, ON
N6P 0G9</t>
  </si>
  <si>
    <t>519-949-0501</t>
  </si>
  <si>
    <t>d.forster@sympatico.ca</t>
  </si>
  <si>
    <t>Critical</t>
  </si>
  <si>
    <t>Doug Bailey</t>
  </si>
  <si>
    <t>1129</t>
  </si>
  <si>
    <t>178 Oakwood Drive Dorchester, ON N0L 1G3</t>
  </si>
  <si>
    <t xml:space="preserve">519-317-2989 </t>
  </si>
  <si>
    <t>doug.bailey@rogers.com</t>
  </si>
  <si>
    <t>Salvatore DeCillis (&amp; Julia)</t>
  </si>
  <si>
    <t>1131</t>
  </si>
  <si>
    <t>47 Langdon Drive King City ON L7B 0L9</t>
  </si>
  <si>
    <t xml:space="preserve">416-460-9642 </t>
  </si>
  <si>
    <t>sam.decillis2@gmail.com</t>
  </si>
  <si>
    <t>HIGH</t>
  </si>
  <si>
    <t>Suzanne Mcrae</t>
  </si>
  <si>
    <t>1134</t>
  </si>
  <si>
    <t>2nd Batch</t>
  </si>
  <si>
    <t>Doesn't Care</t>
  </si>
  <si>
    <t>43 Peak Point Blvd, Maple, ON</t>
  </si>
  <si>
    <t xml:space="preserve">416-624-9647 </t>
  </si>
  <si>
    <t>suemmcrae@gmail.com</t>
  </si>
  <si>
    <t>Caroline and Mike McMaurice</t>
  </si>
  <si>
    <t>1119</t>
  </si>
  <si>
    <t>2258 Belmont Ct Burlington ON L7P 3N3</t>
  </si>
  <si>
    <t>905-334-3626</t>
  </si>
  <si>
    <t>mcmaurice4@gmail.com</t>
  </si>
  <si>
    <t>2 units</t>
  </si>
  <si>
    <t>Mr. John Zhou</t>
  </si>
  <si>
    <t>1108</t>
  </si>
  <si>
    <t>Huayi Gao Please send</t>
  </si>
  <si>
    <t>647-572-2230</t>
  </si>
  <si>
    <t>johnzhou971212@gmail.com</t>
  </si>
  <si>
    <t>Mr. Jamie Smyth</t>
  </si>
  <si>
    <t>1109</t>
  </si>
  <si>
    <t>George will send</t>
  </si>
  <si>
    <t>416-559-5091</t>
  </si>
  <si>
    <t>jamie_smyth67@hotmail.com</t>
  </si>
  <si>
    <t>Mr. Thinh (Bryan) Ho</t>
  </si>
  <si>
    <t>1110</t>
  </si>
  <si>
    <t>Huayi GaoShipped</t>
  </si>
  <si>
    <t>647-249-3093</t>
  </si>
  <si>
    <t>bryanthinhho@gmail.com</t>
  </si>
  <si>
    <t>Mr. Steve Pellegrini</t>
  </si>
  <si>
    <t>N/A - George contacted</t>
  </si>
  <si>
    <t>1112</t>
  </si>
  <si>
    <t xml:space="preserve">905-833-5321 </t>
  </si>
  <si>
    <t>spellegrini@king.ca</t>
  </si>
  <si>
    <t>Mayor Steve Pellegrini</t>
  </si>
  <si>
    <t>Mr. Phil Parkinson</t>
  </si>
  <si>
    <t>1115</t>
  </si>
  <si>
    <t>25 Carlton Street, Unit #409 Toronto, ON M5B 1L4</t>
  </si>
  <si>
    <t>519-200-4646</t>
  </si>
  <si>
    <t>philfparkinson@hotmail.com</t>
  </si>
  <si>
    <t>Medium</t>
  </si>
  <si>
    <t>Mr. Steven Yang</t>
  </si>
  <si>
    <t>1116</t>
  </si>
  <si>
    <t>315 Amberwood Drive, Waterloo, ON, N2T 2E9</t>
  </si>
  <si>
    <t xml:space="preserve">226-989-8377 </t>
  </si>
  <si>
    <t>steven.yang@ylhadvisorygroup.ca</t>
  </si>
  <si>
    <t>YLH Advisory Group Inc</t>
  </si>
  <si>
    <t>Billy Wu</t>
  </si>
  <si>
    <t>1113</t>
  </si>
  <si>
    <t>150 Estelle Ave, North York, ON M2N 5H7</t>
  </si>
  <si>
    <t>647-993-0369</t>
  </si>
  <si>
    <t>billywu1997@gmail.com</t>
  </si>
  <si>
    <t>Joe Lu</t>
  </si>
  <si>
    <t>1121</t>
  </si>
  <si>
    <t>26 Doctors Lane King City, ON L7B 1G2</t>
  </si>
  <si>
    <t xml:space="preserve">647-832-1522 </t>
  </si>
  <si>
    <t>joe.lu@healhouse.ca</t>
  </si>
  <si>
    <t>Marie Kessaris &amp; Sean Li</t>
  </si>
  <si>
    <t>1122</t>
  </si>
  <si>
    <t>Refunded</t>
  </si>
  <si>
    <t>Returned &amp;/or Refunded</t>
  </si>
  <si>
    <t>89 Nightstar Dr Richmond Hill, ON L4C 8H5</t>
  </si>
  <si>
    <t xml:space="preserve">416-648-4716 </t>
  </si>
  <si>
    <t>marie.Kessaris@gmail.com</t>
  </si>
  <si>
    <t>Thao Truong</t>
  </si>
  <si>
    <t>1123</t>
  </si>
  <si>
    <t>64 Tayok Dr Woodbridge, ON L4L 2N2</t>
  </si>
  <si>
    <t xml:space="preserve">416-457-9281 </t>
  </si>
  <si>
    <t>dathaot@netzero.net</t>
  </si>
  <si>
    <t>Hold off</t>
  </si>
  <si>
    <t>Ted Dochau</t>
  </si>
  <si>
    <t>1124</t>
  </si>
  <si>
    <t>9 Kirk Avenue Ajax, ON L1Z 0L6</t>
  </si>
  <si>
    <t xml:space="preserve">647-677-3044 </t>
  </si>
  <si>
    <t>tchau1982@gmail.com</t>
  </si>
  <si>
    <t>Jenny Pho</t>
  </si>
  <si>
    <t>1126</t>
  </si>
  <si>
    <t>4048 Farnsworth Crescent Mississauga ON L5L 3Z3</t>
  </si>
  <si>
    <t xml:space="preserve">647-204-2862 </t>
  </si>
  <si>
    <t>jpho@live.ca</t>
  </si>
  <si>
    <t>*WANTS A NEW TOP* - ONLY GIVE P150 TOP</t>
  </si>
  <si>
    <t>Mike Ferragina</t>
  </si>
  <si>
    <t>1125</t>
  </si>
  <si>
    <t>289 Inverness Wy Bradford West Gwillimbury, ON L3Z 0W8</t>
  </si>
  <si>
    <t xml:space="preserve">905-868-2000 </t>
  </si>
  <si>
    <t>mike.ferragina@gmail.com</t>
  </si>
  <si>
    <t>Chris Phillips</t>
  </si>
  <si>
    <t>1127</t>
  </si>
  <si>
    <t>1154 Deep Cove Road North Vancouver, BC V7G 1S3</t>
  </si>
  <si>
    <t xml:space="preserve">579-488-2729 </t>
  </si>
  <si>
    <t>ofs.phillips@gmail.com</t>
  </si>
  <si>
    <t>Mark and Connie Beatty</t>
  </si>
  <si>
    <t>1128</t>
  </si>
  <si>
    <t>109 Dalmas Road Wooler, ON K0K 3M0</t>
  </si>
  <si>
    <t>613-849-5651 (Mark) 
289-385-1698 (Connie)</t>
  </si>
  <si>
    <t>markbeatty70@gmail.com</t>
  </si>
  <si>
    <t>*NEW TOP &amp; CHAMBERS*</t>
  </si>
  <si>
    <t>Scott Destephanis</t>
  </si>
  <si>
    <t>1169</t>
  </si>
  <si>
    <t xml:space="preserve"> 647-828-5330 
416-200-8404 </t>
  </si>
  <si>
    <t>sdestephanis@gmail.com</t>
  </si>
  <si>
    <t>Sacha Lalla and Scott DeStephanis</t>
  </si>
  <si>
    <t>Michael Haywood</t>
  </si>
  <si>
    <t>1155</t>
  </si>
  <si>
    <t>265 Galway Crt  Oshawa, Ontario L1J 6K6</t>
  </si>
  <si>
    <t xml:space="preserve">905-924-0975 </t>
  </si>
  <si>
    <t>mhaywood@rogers.com</t>
  </si>
  <si>
    <t>Tien Tran</t>
  </si>
  <si>
    <t>1138</t>
  </si>
  <si>
    <t>31 Bengal Court North York, ON M3L 1X8</t>
  </si>
  <si>
    <t>647-649-0801 (Tien) 
647-201-5087 (2nd contact Teresa, Tien's daughter)</t>
  </si>
  <si>
    <t>tien1957@hotmail.com</t>
  </si>
  <si>
    <t>Attention: Kathryn Mclellan, Township of King, Kathryn Mclellan, Environmental Stewardship Outreach Coordinator</t>
  </si>
  <si>
    <t>1142</t>
  </si>
  <si>
    <t>2585 King Road, King City Ontario, L7B1A1</t>
  </si>
  <si>
    <t xml:space="preserve">905-833-6555 </t>
  </si>
  <si>
    <t>kmclellan@king.ca</t>
  </si>
  <si>
    <t>Didn't Want</t>
  </si>
  <si>
    <t>Caesar Radicioni</t>
  </si>
  <si>
    <t>1144</t>
  </si>
  <si>
    <t>10 Brockton Ave. Toronto, ON M6K 1S5</t>
  </si>
  <si>
    <t xml:space="preserve">647-969-7087 </t>
  </si>
  <si>
    <t>caesarsempire@me.com</t>
  </si>
  <si>
    <t>Kevin Cheng</t>
  </si>
  <si>
    <t>1194</t>
  </si>
  <si>
    <t>15 Charlotte Angliss Road Markham ON L3P 7W6</t>
  </si>
  <si>
    <t>416-887-4779</t>
  </si>
  <si>
    <t>ziontkd.markham@gmail.com</t>
  </si>
  <si>
    <t>Kelley Gonsalves</t>
  </si>
  <si>
    <t>1153</t>
  </si>
  <si>
    <t>582 Daylight Court Pickering, ON L1V 6A9</t>
  </si>
  <si>
    <t xml:space="preserve">437-238-2147 </t>
  </si>
  <si>
    <t>reikiwithkelley@gmail.com</t>
  </si>
  <si>
    <t>Delivered a p150</t>
  </si>
  <si>
    <t>Brian Fryer</t>
  </si>
  <si>
    <t>1165</t>
  </si>
  <si>
    <t>1906 Hennessy Cres Ottawa, ON K4A 3X7</t>
  </si>
  <si>
    <t>613-986-6843</t>
  </si>
  <si>
    <t>fryerthedude@hotmail.com</t>
  </si>
  <si>
    <t>Adam Mittleman</t>
  </si>
  <si>
    <t>1166</t>
  </si>
  <si>
    <t>DO NOT DELIVER</t>
  </si>
  <si>
    <t>adam.mittleman@gmail.com</t>
  </si>
  <si>
    <t>Albert &amp; Vincenza Salvatore</t>
  </si>
  <si>
    <t>1149</t>
  </si>
  <si>
    <t>42 Green Valley Crt., Kleinburg, ON. L0J 1C0</t>
  </si>
  <si>
    <t>416-721-0600 
416-543-3374 (Albert)</t>
  </si>
  <si>
    <t>nannaerza@rogers.com</t>
  </si>
  <si>
    <t>Ellery Bunn</t>
  </si>
  <si>
    <t>1159</t>
  </si>
  <si>
    <t>Needs New One</t>
  </si>
  <si>
    <t>182 Southcrest Dr Seagrave ON L0C 1G0 Canada</t>
  </si>
  <si>
    <t xml:space="preserve">416-797-0143 </t>
  </si>
  <si>
    <t>ellery.bunn@gmail.com</t>
  </si>
  <si>
    <t>*NEW P150 UNIT*</t>
  </si>
  <si>
    <t>Cecilia Lee</t>
  </si>
  <si>
    <t>1171</t>
  </si>
  <si>
    <t>4 Pineway Blvd Toronto, ON M2H 1A1</t>
  </si>
  <si>
    <t>647-227-2411</t>
  </si>
  <si>
    <t>cylee.toronto@gmail.com</t>
  </si>
  <si>
    <t>Zheng Han</t>
  </si>
  <si>
    <t>1152</t>
  </si>
  <si>
    <t>zheng@smartharvest.ca</t>
  </si>
  <si>
    <t>Olivia Amaro</t>
  </si>
  <si>
    <t>1174</t>
  </si>
  <si>
    <t>34 Woodsmere Drive Kitchner On N2P 2X2 Canada</t>
  </si>
  <si>
    <t>226-789-7077</t>
  </si>
  <si>
    <t>liv_1976@hotmail.com</t>
  </si>
  <si>
    <t>Robert &amp; Mylene Facchini</t>
  </si>
  <si>
    <t>1177</t>
  </si>
  <si>
    <t>19658 Shaws Creek Rd Alton ON L7K 1K5</t>
  </si>
  <si>
    <t>289-892-4333 
416-831-4668</t>
  </si>
  <si>
    <t>robertfacchini1992@gmail.com</t>
  </si>
  <si>
    <t>James, E, Washington</t>
  </si>
  <si>
    <t>1185</t>
  </si>
  <si>
    <t>3490 Grand Forks Road Mississauga ON L4Y 3M9</t>
  </si>
  <si>
    <t xml:space="preserve">647-225-0228 </t>
  </si>
  <si>
    <t>Jillwash06@gmail.com</t>
  </si>
  <si>
    <t>*SEND NEW TOP*</t>
  </si>
  <si>
    <t>Yunfei Liu</t>
  </si>
  <si>
    <t>1187</t>
  </si>
  <si>
    <t>68 Dudley Ave. North York ON M2N 6N9</t>
  </si>
  <si>
    <t xml:space="preserve">437-425-9991 </t>
  </si>
  <si>
    <t>yunfeil@live.com</t>
  </si>
  <si>
    <t>Mark Perera</t>
  </si>
  <si>
    <t>1189</t>
  </si>
  <si>
    <t>240 Hills Point Road Oak Bay New Brunswick E3L 4J8</t>
  </si>
  <si>
    <t xml:space="preserve">506-921-3029 </t>
  </si>
  <si>
    <t>jmarksperera@gmail.com</t>
  </si>
  <si>
    <t>Trans Circle Clean Energy Inc.</t>
  </si>
  <si>
    <t>1195</t>
  </si>
  <si>
    <t>Kai Guo</t>
  </si>
  <si>
    <t>136 Hay Crescent Cambridge ON N1P 1H7</t>
  </si>
  <si>
    <t>Kevin Guo</t>
  </si>
  <si>
    <t>kgtools@hotmail.com</t>
  </si>
  <si>
    <t>1198</t>
  </si>
  <si>
    <t>Junaid Siddiqui (Customer)</t>
  </si>
  <si>
    <t>1217</t>
  </si>
  <si>
    <t>91 Old Finch Avenue Scarborough ON M1B 5G5</t>
  </si>
  <si>
    <t>647-632-1917</t>
  </si>
  <si>
    <t>junaidas97@gmail.com</t>
  </si>
  <si>
    <t>RIS Sale</t>
  </si>
  <si>
    <t>Chad Lockhart</t>
  </si>
  <si>
    <t>1219</t>
  </si>
  <si>
    <t>60 Courtney St Fergus ON N1M 0E5</t>
  </si>
  <si>
    <t>(905)302-2659</t>
  </si>
  <si>
    <t>chadlockhart@icloud.com</t>
  </si>
  <si>
    <t>Zhenghe Zhang</t>
  </si>
  <si>
    <t>1223</t>
  </si>
  <si>
    <t>He wants to pick up at our office. Connected with George</t>
  </si>
  <si>
    <t>416-895-6570</t>
  </si>
  <si>
    <t>george.zhang@ontario.ca</t>
  </si>
  <si>
    <t>Ari (Jack's Partner) (GET FULL NAME)</t>
  </si>
  <si>
    <t>Paid, Not Delivered</t>
  </si>
  <si>
    <t>137 Regina Ave. North York, ON M6A 1R8</t>
  </si>
  <si>
    <t>613-801-2636</t>
  </si>
  <si>
    <t>lila.composting.riv4x@passinbox.com</t>
  </si>
  <si>
    <t>WANTS A REFUND</t>
  </si>
  <si>
    <t>Jasmine Wang</t>
  </si>
  <si>
    <t>Sent Emails</t>
  </si>
  <si>
    <t>1147</t>
  </si>
  <si>
    <t xml:space="preserve">647-298-0916 </t>
  </si>
  <si>
    <t>jasmine@ibd.to</t>
  </si>
  <si>
    <t>Ms. Yuanbo Luo</t>
  </si>
  <si>
    <t>N/A - Julie's contact</t>
  </si>
  <si>
    <t>1002</t>
  </si>
  <si>
    <t>73  Stubbswood Square, Scarborough, ON, M1S 2K7</t>
  </si>
  <si>
    <t>416-498-6281</t>
  </si>
  <si>
    <t>Bruce Frauley</t>
  </si>
  <si>
    <t>1151</t>
  </si>
  <si>
    <t xml:space="preserve">647-272-8230 </t>
  </si>
  <si>
    <t>frauls5@hotmail.com</t>
  </si>
  <si>
    <t>Bruce &amp; Michelle Frauley</t>
  </si>
  <si>
    <t>Emma Ge</t>
  </si>
  <si>
    <t>1d</t>
  </si>
  <si>
    <t>1216</t>
  </si>
  <si>
    <t>350 Highway 7, Unit #112, Richmond Hill, ON, L4B 3N2</t>
  </si>
  <si>
    <t>905-747-0627</t>
  </si>
  <si>
    <t>emmage070@gmail.com</t>
  </si>
  <si>
    <t>-Lawrence &amp; Bayview, North York</t>
  </si>
  <si>
    <t>Jeff Peng</t>
  </si>
  <si>
    <t>1160</t>
  </si>
  <si>
    <t>LL01-00000000011</t>
  </si>
  <si>
    <t>Delivered, Not Paid</t>
  </si>
  <si>
    <t>22 Dovedale Dr Georgina, ON  L4P 4C3</t>
  </si>
  <si>
    <t>647-271-5618</t>
  </si>
  <si>
    <t>jeff.torcn.com@gmail.com</t>
  </si>
  <si>
    <t>Liangjian Peng</t>
  </si>
  <si>
    <t>Peter Phillips</t>
  </si>
  <si>
    <t>1199</t>
  </si>
  <si>
    <t>Refund</t>
  </si>
  <si>
    <t>36 Johnson Cres Georgetown ON L7G 6C9</t>
  </si>
  <si>
    <t>416-890-4284</t>
  </si>
  <si>
    <t>peter.phillips21@gmail.com</t>
  </si>
  <si>
    <t>He cancled and asked for refund</t>
  </si>
  <si>
    <t>Jim Christie</t>
  </si>
  <si>
    <t>1120</t>
  </si>
  <si>
    <t>8223 Wellington Rd 18, Fergus</t>
  </si>
  <si>
    <t xml:space="preserve">905-706-9444 </t>
  </si>
  <si>
    <t>jimchristie@hotmail.com</t>
  </si>
  <si>
    <t>Kayla Peppler</t>
  </si>
  <si>
    <t>1135</t>
  </si>
  <si>
    <t>1015 Bruce road 4  Walkerton on N0g2v0</t>
  </si>
  <si>
    <t xml:space="preserve">519-889-2663 </t>
  </si>
  <si>
    <t>kaylapeppler2013@gmail.com</t>
  </si>
  <si>
    <t>Vicki Crooke</t>
  </si>
  <si>
    <t>1145</t>
  </si>
  <si>
    <t>43 Forest Rd Ajax ON L1S 2N2</t>
  </si>
  <si>
    <t xml:space="preserve">905-686-1526 </t>
  </si>
  <si>
    <t>vickic487@gmail.com</t>
  </si>
  <si>
    <t>Shaylen Young</t>
  </si>
  <si>
    <t>1136</t>
  </si>
  <si>
    <t>45 Ravencliff Crescent Toronto, Ontario, M1T 1R7</t>
  </si>
  <si>
    <t xml:space="preserve">647-542-0815 </t>
  </si>
  <si>
    <t>shayoung12@hotmail.com</t>
  </si>
  <si>
    <t>Alicia Mitchell</t>
  </si>
  <si>
    <t>1139</t>
  </si>
  <si>
    <t>DONT INCLUDE YET</t>
  </si>
  <si>
    <t>1177 Yonge St, Unit 314, M4T 2Y4, Toronto</t>
  </si>
  <si>
    <t xml:space="preserve">647-825-5830 </t>
  </si>
  <si>
    <t>emailalicia@me.com</t>
  </si>
  <si>
    <t>WANTS A FUTURE GENERATION</t>
  </si>
  <si>
    <t>Kirk Beatty</t>
  </si>
  <si>
    <t>1168</t>
  </si>
  <si>
    <t xml:space="preserve">905-767-6995 </t>
  </si>
  <si>
    <t>kirk@beatty-machine.com</t>
  </si>
  <si>
    <t>Not Interested Anymore</t>
  </si>
  <si>
    <t>Sridhar Kotari</t>
  </si>
  <si>
    <t>1154</t>
  </si>
  <si>
    <t xml:space="preserve">647-242-6434 </t>
  </si>
  <si>
    <t>skotari@vassutech.com</t>
  </si>
  <si>
    <t>Elayne Baka</t>
  </si>
  <si>
    <t>1176</t>
  </si>
  <si>
    <t>547 Steeles Ave W, #58 North York ON M2M 3Y1</t>
  </si>
  <si>
    <t>416-222-5187</t>
  </si>
  <si>
    <t>Elayne_001@rogers.com</t>
  </si>
  <si>
    <t>Mr. Chris Collucci</t>
  </si>
  <si>
    <t>1111</t>
  </si>
  <si>
    <t>647-383-8911</t>
  </si>
  <si>
    <t>chris.collucci@markhamboard.com</t>
  </si>
  <si>
    <t>Kelly Dyment</t>
  </si>
  <si>
    <t>1175</t>
  </si>
  <si>
    <t>76 Cadorna Ave Toronto ON M4J 3X1</t>
  </si>
  <si>
    <t>647-688-2767</t>
  </si>
  <si>
    <t>kelly@kellybeans.com</t>
  </si>
  <si>
    <t>Peter Prytula</t>
  </si>
  <si>
    <t>N/A - Callback on Monday</t>
  </si>
  <si>
    <t>1178</t>
  </si>
  <si>
    <t>124 Saturn Road Etobicoke ON M9C 256</t>
  </si>
  <si>
    <t xml:space="preserve">416-843-6434 </t>
  </si>
  <si>
    <t>peterprytula@gmail.com</t>
  </si>
  <si>
    <t>Michael Madigan</t>
  </si>
  <si>
    <t>1179</t>
  </si>
  <si>
    <t>1386 Thottenham Road, Thottenham, Ontario, L0G 1W0</t>
  </si>
  <si>
    <t xml:space="preserve">647-838-8242 </t>
  </si>
  <si>
    <t>madmike2021@hotmail.com</t>
  </si>
  <si>
    <t>Donna Wood</t>
  </si>
  <si>
    <t>1180</t>
  </si>
  <si>
    <t xml:space="preserve"> 6 Buchanan Cres Thorold ON</t>
  </si>
  <si>
    <t xml:space="preserve">905-330-5289 </t>
  </si>
  <si>
    <t>smilesarefree@gmail.com</t>
  </si>
  <si>
    <t>Francine Bryant (refund)</t>
  </si>
  <si>
    <t>HOLD OFF</t>
  </si>
  <si>
    <t>1181</t>
  </si>
  <si>
    <t>7876 Charnwood Ave Niagara Falls ON L2H 3E2</t>
  </si>
  <si>
    <t>franntastic@hotmail.com</t>
  </si>
  <si>
    <t>Chris &amp; Renata Grant</t>
  </si>
  <si>
    <t>1182</t>
  </si>
  <si>
    <t>3 Father Redmond Way Etobicoke ON M8W 2L1</t>
  </si>
  <si>
    <t xml:space="preserve">905-301-7988 </t>
  </si>
  <si>
    <t>cb.grant@hotmail.com</t>
  </si>
  <si>
    <t>Mike Ferguson</t>
  </si>
  <si>
    <t>1183</t>
  </si>
  <si>
    <t>2132 Coronation Blvd Cambridge ON N3H 3S7</t>
  </si>
  <si>
    <t xml:space="preserve">416-219-9200 </t>
  </si>
  <si>
    <t>editandmike2015@gmail.com</t>
  </si>
  <si>
    <t>Tony Rinello</t>
  </si>
  <si>
    <t>1184</t>
  </si>
  <si>
    <t>16 Marianfeld Ace Toronto ON M6B 3W3</t>
  </si>
  <si>
    <t xml:space="preserve">416-783-2550 </t>
  </si>
  <si>
    <t>rinellat@hotmail.com</t>
  </si>
  <si>
    <t>Alp Celebi</t>
  </si>
  <si>
    <t>1188</t>
  </si>
  <si>
    <t>26 Lucky Court Woodbridge ON L4L 5R4</t>
  </si>
  <si>
    <t xml:space="preserve">416-876-0466 </t>
  </si>
  <si>
    <t>alpcelebi@live.ca</t>
  </si>
  <si>
    <t>Micheal Wai Thong Lai</t>
  </si>
  <si>
    <t>N/A - They'll reach out in Oct.</t>
  </si>
  <si>
    <t>1205</t>
  </si>
  <si>
    <t>1257 Fairdale Dr., Mississauga, ON, L5C 1K3</t>
  </si>
  <si>
    <t xml:space="preserve">416-436-2609 </t>
  </si>
  <si>
    <t>michaelcorp@rogers.com</t>
  </si>
  <si>
    <t>Go East Mechanics</t>
  </si>
  <si>
    <t>1197</t>
  </si>
  <si>
    <t>55 Shaver St Brantford ON N3T 5M1</t>
  </si>
  <si>
    <t>Grace Tam</t>
  </si>
  <si>
    <t>N/A - They'll reach out in Dec.</t>
  </si>
  <si>
    <t>1193</t>
  </si>
  <si>
    <t>74 Dunning Ave Aurora ON L4G 1A3 Canada</t>
  </si>
  <si>
    <t xml:space="preserve">416-939-3666 </t>
  </si>
  <si>
    <t>sc@labu.slmail.me</t>
  </si>
  <si>
    <t>Lynn Liu</t>
  </si>
  <si>
    <t>1192</t>
  </si>
  <si>
    <t>15 Wertheim Ct. Suite 707 Richmond Hill ON L4B 3H7</t>
  </si>
  <si>
    <t xml:space="preserve">905-760-9168 </t>
  </si>
  <si>
    <t>info@lynncpa.ca</t>
  </si>
  <si>
    <t>Mary &amp; Marilynne Oskamp</t>
  </si>
  <si>
    <t>1208</t>
  </si>
  <si>
    <t>12 Pulla Street Trenton ON K8V 5P7</t>
  </si>
  <si>
    <t>613-955-0972 
905-536-6985</t>
  </si>
  <si>
    <t>oskampm@mac.com</t>
  </si>
  <si>
    <t>Mark &amp; Cheryl Marshall</t>
  </si>
  <si>
    <t>1221</t>
  </si>
  <si>
    <t>675369 16th Line R.R.I Innerkiy ON N0J 1M0</t>
  </si>
  <si>
    <t>519-533-8989</t>
  </si>
  <si>
    <t>m.c.marshall@sympatico.ca</t>
  </si>
  <si>
    <t>David Perry</t>
  </si>
  <si>
    <t>1203</t>
  </si>
  <si>
    <t>13675 8th Concession Rd King City ON L7B 1K4</t>
  </si>
  <si>
    <t xml:space="preserve">416-989-6041 </t>
  </si>
  <si>
    <t>david@perry.com</t>
  </si>
  <si>
    <t>Rongbing Sun</t>
  </si>
  <si>
    <t>1210 (Revision)</t>
  </si>
  <si>
    <t>633 Silver Star Blvd, Unit 123 Scarborough ON M1V 5N1</t>
  </si>
  <si>
    <t xml:space="preserve">647-802-3099 </t>
  </si>
  <si>
    <t>sunrongbing@hotmail.com</t>
  </si>
  <si>
    <t>Revised Invoice (38 units to be delivered)</t>
  </si>
  <si>
    <t>1211</t>
  </si>
  <si>
    <t>40 units to be delivered. **SEND NEW P150 UNIT**</t>
  </si>
  <si>
    <t>Omniya Hussein</t>
  </si>
  <si>
    <t>N/A - Junaid reaching out</t>
  </si>
  <si>
    <t>22/12/2024</t>
  </si>
  <si>
    <t>4 Snowdrop Pl, Brampton, ON, L6B 3Y6</t>
  </si>
  <si>
    <t>416-315-2202</t>
  </si>
  <si>
    <t>omniyamh@hotmail.com</t>
  </si>
  <si>
    <t>Other number: 647-299-7002</t>
  </si>
  <si>
    <t>Sharon Corcoran</t>
  </si>
  <si>
    <t>21 Farris Ave St. Catharies ON L6X 5A4</t>
  </si>
  <si>
    <t>416-433-0419</t>
  </si>
  <si>
    <t>info@corksandbubbles.ca</t>
  </si>
  <si>
    <t>Originally LILA Mini but switched to LILA</t>
  </si>
  <si>
    <t>TOTAL</t>
  </si>
  <si>
    <t>NAME</t>
  </si>
  <si>
    <t>CLOSED DATE</t>
  </si>
  <si>
    <t>Membership Notes</t>
  </si>
  <si>
    <t>Amount Paid</t>
  </si>
  <si>
    <t>Balance Due</t>
  </si>
  <si>
    <t>Machine Color</t>
  </si>
  <si>
    <t>Street address</t>
  </si>
  <si>
    <t>Engraved Text</t>
  </si>
  <si>
    <t>Customer Contact List</t>
  </si>
  <si>
    <t>VCycene Inc.</t>
  </si>
  <si>
    <t>Customer full name</t>
  </si>
  <si>
    <t>Phone numbers</t>
  </si>
  <si>
    <t>Full name</t>
  </si>
  <si>
    <t>Bill address</t>
  </si>
  <si>
    <t>Ship address</t>
  </si>
  <si>
    <t>1000911682 Ontario Inc.</t>
  </si>
  <si>
    <t>goldenlake09@gmail.com</t>
  </si>
  <si>
    <t>4257 Steeles Ave W North York ON M3N 1V7</t>
  </si>
  <si>
    <t>3101 Kennedy Development Inc.</t>
  </si>
  <si>
    <t>Mobile:647-993-0369</t>
  </si>
  <si>
    <t>Adam  Mittleman</t>
  </si>
  <si>
    <t>Alan &amp; Susan Weinrib</t>
  </si>
  <si>
    <t xml:space="preserve">Phone:905-493-4933 </t>
  </si>
  <si>
    <t>ajsjw@rogers.com</t>
  </si>
  <si>
    <t>Alan &amp; Susan  Weinrib</t>
  </si>
  <si>
    <t>15 Kressman Crt Whitby ON L1P 0A1</t>
  </si>
  <si>
    <t>Phone:416-721-0600 Mobile:416-543-3374 (Albert)</t>
  </si>
  <si>
    <t>Albert &amp; Vincenza  Salvatore</t>
  </si>
  <si>
    <t xml:space="preserve">Phone:647-825-5830 </t>
  </si>
  <si>
    <t>Alicia  Mitchell</t>
  </si>
  <si>
    <t>Allen Yi &amp; Jessie Hu</t>
  </si>
  <si>
    <t>Jessie_hu2000@hotmail.com</t>
  </si>
  <si>
    <t xml:space="preserve">Phone:416-876-0466 </t>
  </si>
  <si>
    <t>Alp  Celebi</t>
  </si>
  <si>
    <t>Amazon com.ca</t>
  </si>
  <si>
    <t xml:space="preserve">Phone:647-292-3585 </t>
  </si>
  <si>
    <t>Annie  Wu</t>
  </si>
  <si>
    <t>Biotalent Canada-1</t>
  </si>
  <si>
    <t>BMO 1</t>
  </si>
  <si>
    <t>BMO (USD)</t>
  </si>
  <si>
    <t>Brian  Fryer</t>
  </si>
  <si>
    <t xml:space="preserve">Phone:647-272-8230 </t>
  </si>
  <si>
    <t>Bruce  Frauley</t>
  </si>
  <si>
    <t xml:space="preserve">Phone:647-969-7087 </t>
  </si>
  <si>
    <t>Caesar  Radicioni</t>
  </si>
  <si>
    <t>Phone:905-334-3626 Mobile:905-334-3626</t>
  </si>
  <si>
    <t>Caroline and Mike  McMaurice</t>
  </si>
  <si>
    <t>Cecilia  Lee</t>
  </si>
  <si>
    <t>Chad  Lockhart</t>
  </si>
  <si>
    <t>Chao Gao</t>
  </si>
  <si>
    <t>Mobile:514-573-8997</t>
  </si>
  <si>
    <t>chao.v.gao@gmail.com</t>
  </si>
  <si>
    <t>Chao  Gao</t>
  </si>
  <si>
    <t xml:space="preserve">Phone:519-630-1553 </t>
  </si>
  <si>
    <t>Chris  Birtch</t>
  </si>
  <si>
    <t xml:space="preserve">Phone:579-488-2729 </t>
  </si>
  <si>
    <t>Chris  Phillips</t>
  </si>
  <si>
    <t xml:space="preserve">Phone:905-301-7988 </t>
  </si>
  <si>
    <t>Chris &amp; Renata  Grant</t>
  </si>
  <si>
    <t>Coredata Inform CIV/PLE</t>
  </si>
  <si>
    <t>Customers for Small Products</t>
  </si>
  <si>
    <t xml:space="preserve">Phone:519-949-0501 </t>
  </si>
  <si>
    <t>David  Forster</t>
  </si>
  <si>
    <t xml:space="preserve">Phone:416-989-6041 </t>
  </si>
  <si>
    <t>David  Perry</t>
  </si>
  <si>
    <t xml:space="preserve">Phone:905-330-5289 </t>
  </si>
  <si>
    <t>Donna  Wood</t>
  </si>
  <si>
    <t>LeBuchanan Cres Thorold ON</t>
  </si>
  <si>
    <t xml:space="preserve">Phone:519-317-2989 </t>
  </si>
  <si>
    <t>Doug  Bailey</t>
  </si>
  <si>
    <t>Easly Solutions Corp</t>
  </si>
  <si>
    <t>Phone:416-222-5187 Mobile:416-222-5187</t>
  </si>
  <si>
    <t>Elayne  Baka</t>
  </si>
  <si>
    <t xml:space="preserve">Phone:416-797-0143 </t>
  </si>
  <si>
    <t>Ellery  Bunn</t>
  </si>
  <si>
    <t>Emma  Ge</t>
  </si>
  <si>
    <t>First Data (Clover.com)</t>
  </si>
  <si>
    <t>Francine Bryant</t>
  </si>
  <si>
    <t>Francine  Bryant</t>
  </si>
  <si>
    <t>George Yin</t>
  </si>
  <si>
    <t>george@virgohome.io</t>
  </si>
  <si>
    <t>George  Yin</t>
  </si>
  <si>
    <t xml:space="preserve">Phone:416-939-3666 </t>
  </si>
  <si>
    <t>Grace  Tam</t>
  </si>
  <si>
    <t>Han Li</t>
  </si>
  <si>
    <t>Mobile:437-299-6778</t>
  </si>
  <si>
    <t>limingjie1971@gmail.com</t>
  </si>
  <si>
    <t>Han  Li</t>
  </si>
  <si>
    <t>Hans Li</t>
  </si>
  <si>
    <t xml:space="preserve">Phone:647-886-9128 </t>
  </si>
  <si>
    <t>hansli0128@gmail.com</t>
  </si>
  <si>
    <t>Hans  Li</t>
  </si>
  <si>
    <t>Hillary Rosen</t>
  </si>
  <si>
    <t>Mobile:647-200-6941</t>
  </si>
  <si>
    <t>Hillaryr4me@gmail.com</t>
  </si>
  <si>
    <t>Hillary  Rosen</t>
  </si>
  <si>
    <t>573 Main St L7G 3T5 Glen Williams ON L7G 3T5</t>
  </si>
  <si>
    <t xml:space="preserve">Phone:416-668-3198 </t>
  </si>
  <si>
    <t>Huimin (Tony)  Wang</t>
  </si>
  <si>
    <t>Jack and Ari</t>
  </si>
  <si>
    <t xml:space="preserve">Phone:613-801-2636 </t>
  </si>
  <si>
    <t>137 Regina Ave. North York ON M6A 1R8</t>
  </si>
  <si>
    <t xml:space="preserve">Phone:647-225-0228 </t>
  </si>
  <si>
    <t xml:space="preserve">Phone:647-298-0916 </t>
  </si>
  <si>
    <t>Jasmine  Wang</t>
  </si>
  <si>
    <t xml:space="preserve">Phone:647-271-5618 </t>
  </si>
  <si>
    <t>Jeff  Peng</t>
  </si>
  <si>
    <t xml:space="preserve">Phone:647-204-2862 </t>
  </si>
  <si>
    <t>Jenny  Pho</t>
  </si>
  <si>
    <t xml:space="preserve">Phone:905-706-9444 </t>
  </si>
  <si>
    <t>Jim  Christie</t>
  </si>
  <si>
    <t xml:space="preserve">Phone:647-832-1522 </t>
  </si>
  <si>
    <t>Joe  Lu</t>
  </si>
  <si>
    <t>Phone:647-632-1917 Mobile:647-632-1917</t>
  </si>
  <si>
    <t>Junaid  Siddiqui (Customer)</t>
  </si>
  <si>
    <t xml:space="preserve">Phone:647-467-1136 </t>
  </si>
  <si>
    <t>Junguo  Liao</t>
  </si>
  <si>
    <t>Karen Dubeau</t>
  </si>
  <si>
    <t xml:space="preserve">Phone:289-231-4562 </t>
  </si>
  <si>
    <t>kdubeau.kd@gmail.com</t>
  </si>
  <si>
    <t>Karen  Dubeau</t>
  </si>
  <si>
    <t>KAREN WANG (INVESTOR)-USD ACCOUNT</t>
  </si>
  <si>
    <t xml:space="preserve">Phone:519-889-2663 </t>
  </si>
  <si>
    <t>kayla.peppler2013@gmail.com</t>
  </si>
  <si>
    <t>Kayla  Peppler</t>
  </si>
  <si>
    <t xml:space="preserve">Phone:437-238-2147 </t>
  </si>
  <si>
    <t>Kelley  Gonsalves</t>
  </si>
  <si>
    <t>Mobile:647-688-2767</t>
  </si>
  <si>
    <t>Kelly  Dyment</t>
  </si>
  <si>
    <t xml:space="preserve">Phone:416-887-4779 </t>
  </si>
  <si>
    <t>Kevin  Cheng</t>
  </si>
  <si>
    <t>Kimberley Mayers</t>
  </si>
  <si>
    <t xml:space="preserve">Phone:647-787-9320 </t>
  </si>
  <si>
    <t>ksobryan@gmail.com</t>
  </si>
  <si>
    <t>Kimberley  Mayers</t>
  </si>
  <si>
    <t xml:space="preserve">Phone:905-767-6995 </t>
  </si>
  <si>
    <t>Kirk  Beatty</t>
  </si>
  <si>
    <t>La Fdration</t>
  </si>
  <si>
    <t xml:space="preserve">Phone:905-760-9168 </t>
  </si>
  <si>
    <t>Lynn  Liu</t>
  </si>
  <si>
    <t xml:space="preserve">Phone:416-648-4716 </t>
  </si>
  <si>
    <t>Marie &amp; Sean  Kessaris &amp; Li</t>
  </si>
  <si>
    <t xml:space="preserve">Phone:613-849-5651 </t>
  </si>
  <si>
    <t>Mark and Connie  Beatty</t>
  </si>
  <si>
    <t>Mobile:519-533-8989</t>
  </si>
  <si>
    <t>Mark &amp; Cheryl  Marshall</t>
  </si>
  <si>
    <t xml:space="preserve">Phone:506-921-3029 </t>
  </si>
  <si>
    <t>Mark  Perera</t>
  </si>
  <si>
    <t>Phone:613-955-0972 Mobile:905-536-6985</t>
  </si>
  <si>
    <t>Mary &amp; Marilynne  Oskamp</t>
  </si>
  <si>
    <t>Melody  Tao</t>
  </si>
  <si>
    <t xml:space="preserve">Phone:905-924-0975 </t>
  </si>
  <si>
    <t>Michael  Haywood</t>
  </si>
  <si>
    <t xml:space="preserve">Phone:647-838-8242 </t>
  </si>
  <si>
    <t>Michael  Madigan</t>
  </si>
  <si>
    <t>436527 4th Line Melancthon ON L9V 1S6</t>
  </si>
  <si>
    <t xml:space="preserve">Phone:416-436-2609 </t>
  </si>
  <si>
    <t>Micheal Wai Thong  Lai</t>
  </si>
  <si>
    <t>Mike Fergnson</t>
  </si>
  <si>
    <t xml:space="preserve">Phone:416-219-9200 </t>
  </si>
  <si>
    <t>Mike  Fergnson</t>
  </si>
  <si>
    <t xml:space="preserve">Phone:905-868-2000 </t>
  </si>
  <si>
    <t>Mike  Ferragina</t>
  </si>
  <si>
    <t>Mr. Andrey Shurygin</t>
  </si>
  <si>
    <t>Phone:647-898-5909 Mobile:647-898-5909</t>
  </si>
  <si>
    <t>andrey@sibwest.ca</t>
  </si>
  <si>
    <t>Mr. Andrey  Shurygin</t>
  </si>
  <si>
    <t>Mobile:647-383-8911</t>
  </si>
  <si>
    <t>Mr. Chris  Collucci</t>
  </si>
  <si>
    <t>Phone:416-559-5091 Mobile:416-559-5091</t>
  </si>
  <si>
    <t>jsmyth@king.ca</t>
  </si>
  <si>
    <t>Mr. Jamie  Smyth</t>
  </si>
  <si>
    <t>Mr. Jim Ford</t>
  </si>
  <si>
    <t xml:space="preserve">Phone:519-670-9303 </t>
  </si>
  <si>
    <t>jim@aglinks.com</t>
  </si>
  <si>
    <t>Mr. Jim  Ford</t>
  </si>
  <si>
    <t>Phone:647-572-2230 Mobile:647-572-2230</t>
  </si>
  <si>
    <t>Mr. John  Zhou</t>
  </si>
  <si>
    <t>Mobile:519-200-4646</t>
  </si>
  <si>
    <t>Mr. Phil  Parkinson</t>
  </si>
  <si>
    <t xml:space="preserve">Phone:226-989-8377 </t>
  </si>
  <si>
    <t>Mr. Steven  Yang</t>
  </si>
  <si>
    <t xml:space="preserve">Phone:905-833-5321 </t>
  </si>
  <si>
    <t>Mr. Steve  Pellegrini</t>
  </si>
  <si>
    <t>Mobile:647-249-3093</t>
  </si>
  <si>
    <t>Mr. Tim Li</t>
  </si>
  <si>
    <t>Phone:647-866-0716 Mobile:647-866-0716</t>
  </si>
  <si>
    <t>nicety-repair@hotmail.com</t>
  </si>
  <si>
    <t>Mr. Tim  Li</t>
  </si>
  <si>
    <t>Mr. Wentong Gao</t>
  </si>
  <si>
    <t xml:space="preserve">Phone:905-348-3366 </t>
  </si>
  <si>
    <t>gaowinston@yahoo.ca</t>
  </si>
  <si>
    <t>Mr. Wentong  Gao</t>
  </si>
  <si>
    <t>Mobile:416-498-6281</t>
  </si>
  <si>
    <t>Ms. Yuanbo  Luo</t>
  </si>
  <si>
    <t>Olivia  Amaro</t>
  </si>
  <si>
    <t xml:space="preserve">Phone:647-299-7002 </t>
  </si>
  <si>
    <t>Omniya  Hussein</t>
  </si>
  <si>
    <t>4 Snowdrop Pl Brampton ON L6P 3Y6</t>
  </si>
  <si>
    <t>Ontario Chamber 1</t>
  </si>
  <si>
    <t>Mobile:416-890-4284</t>
  </si>
  <si>
    <t>Peter  Phillips</t>
  </si>
  <si>
    <t xml:space="preserve">Phone:416-843-6434 </t>
  </si>
  <si>
    <t>Peter  Prytula</t>
  </si>
  <si>
    <t>Prema Vaidyanethen</t>
  </si>
  <si>
    <t xml:space="preserve">Phone:416-565-7413 </t>
  </si>
  <si>
    <t>a1ob@yahoo.com</t>
  </si>
  <si>
    <t>Prema  Vaidyanethen</t>
  </si>
  <si>
    <t>202 Richview Ave Toronto ON M5P 3G3</t>
  </si>
  <si>
    <t>Rebecca Andrews</t>
  </si>
  <si>
    <t xml:space="preserve">Phone:416-684-0249 </t>
  </si>
  <si>
    <t>rebeccaandrews0026@gmail.comm</t>
  </si>
  <si>
    <t>Rebecca  Andrews</t>
  </si>
  <si>
    <t>Respon Wealth Management Corp</t>
  </si>
  <si>
    <t>respon.office@gmail.com</t>
  </si>
  <si>
    <t>97 Sheppard Ave.E Toronto ON M2N 3A3</t>
  </si>
  <si>
    <t>Phone:289-892-4333 Mobile:416-831-4668</t>
  </si>
  <si>
    <t>Robert &amp; Mylene  Facchini</t>
  </si>
  <si>
    <t xml:space="preserve">Phone:647-802-3099 </t>
  </si>
  <si>
    <t>Rongbing  Sun</t>
  </si>
  <si>
    <t>Ruiping Guo</t>
  </si>
  <si>
    <t>Mobile:647-299-7441</t>
  </si>
  <si>
    <t>ruiping_guo@hotmail.com</t>
  </si>
  <si>
    <t>Ruiping  Guo</t>
  </si>
  <si>
    <t>19 Glorious Song Lane Aurora ON L4G</t>
  </si>
  <si>
    <t>Ryerson University</t>
  </si>
  <si>
    <t>Salvatore DeCillis</t>
  </si>
  <si>
    <t xml:space="preserve">Phone:416-460-9642 </t>
  </si>
  <si>
    <t>Salvatore  DeCillis</t>
  </si>
  <si>
    <t>Phone:647-828-5330 Mobile:416-200-8404</t>
  </si>
  <si>
    <t>Scott  Destephanis</t>
  </si>
  <si>
    <t>Phone:416-433-0419 Mobile:416-433-0419</t>
  </si>
  <si>
    <t>Sharon  Corcoran</t>
  </si>
  <si>
    <t xml:space="preserve">Phone:647-542-0815 </t>
  </si>
  <si>
    <t>Shaylen  Young</t>
  </si>
  <si>
    <t xml:space="preserve">Phone:647-242-6434 </t>
  </si>
  <si>
    <t>Sridhar  Kotari</t>
  </si>
  <si>
    <t xml:space="preserve">Phone:416-624-9647 </t>
  </si>
  <si>
    <t>Suzanne  Mcrae</t>
  </si>
  <si>
    <t xml:space="preserve">Phone:647-677-3044 </t>
  </si>
  <si>
    <t>Ted  Dochau</t>
  </si>
  <si>
    <t xml:space="preserve">Phone:416-457-9281 </t>
  </si>
  <si>
    <t>Thao  Truong</t>
  </si>
  <si>
    <t xml:space="preserve">Phone:647-649-0801 </t>
  </si>
  <si>
    <t>Tien  Tran</t>
  </si>
  <si>
    <t xml:space="preserve">Phone:416-783-2550 </t>
  </si>
  <si>
    <t>Tony  Rinello</t>
  </si>
  <si>
    <t>16 Marianfeld Ace Toronto ON N6B 3W3</t>
  </si>
  <si>
    <t>Township of King, Kathryn Mclellan, Environmental Stewardship Outreach Coordinator</t>
  </si>
  <si>
    <t xml:space="preserve">Phone:905-833-6555 </t>
  </si>
  <si>
    <t>Township of King,  Kathryn Mclellan, Environmental Stewardship Outreach Coordinator</t>
  </si>
  <si>
    <t>TRANS CIRCLE CLEAN ENERGY INC-USD ACCOUNT</t>
  </si>
  <si>
    <t>TRANS CIRCLE CLEAN ENGERGY INC. - USD ACCOUNT</t>
  </si>
  <si>
    <t>TT1/Shenzhen B (USD)</t>
  </si>
  <si>
    <t>VentureLab1</t>
  </si>
  <si>
    <t>VentureLab 1</t>
  </si>
  <si>
    <t xml:space="preserve">Phone:905-686-1526 </t>
  </si>
  <si>
    <t>Vicki  Crooke</t>
  </si>
  <si>
    <t>Xiangdong Yin (Shareholder)</t>
  </si>
  <si>
    <t>Xiangdong  Yin (Shareholder)</t>
  </si>
  <si>
    <t>YE ADJ</t>
  </si>
  <si>
    <t>Yizeng Ni (USD Investor)</t>
  </si>
  <si>
    <t>Yizeng  Ni</t>
  </si>
  <si>
    <t>Yufeng Zhou (USD)</t>
  </si>
  <si>
    <t>Yufeng  Zhou</t>
  </si>
  <si>
    <t xml:space="preserve">Phone:437-425-9991 </t>
  </si>
  <si>
    <t>Yunfei  Liu</t>
  </si>
  <si>
    <t xml:space="preserve">Phone:647-867-3338 </t>
  </si>
  <si>
    <t>Yun Feng  Zhang</t>
  </si>
  <si>
    <t>Yuzhou Chu</t>
  </si>
  <si>
    <t>Yuzhou  Chu</t>
  </si>
  <si>
    <t>Zheng  Han</t>
  </si>
  <si>
    <t>Phone:416-895-6570 Mobile:416-895-6570</t>
  </si>
  <si>
    <t>Zhenghe  Zhang</t>
  </si>
  <si>
    <t>Accrual Basis Friday, July 04, 2025 01:55 AM GMTZ</t>
  </si>
  <si>
    <t>Invoice List by Date</t>
  </si>
  <si>
    <t>All Dates</t>
  </si>
  <si>
    <t>Date</t>
  </si>
  <si>
    <t>Location full name</t>
  </si>
  <si>
    <t>Memo/Description</t>
  </si>
  <si>
    <t>1003</t>
  </si>
  <si>
    <t>1200</t>
  </si>
  <si>
    <t>1201</t>
  </si>
  <si>
    <t>1202</t>
  </si>
  <si>
    <t>Canada</t>
  </si>
  <si>
    <t>40 units to be delivered</t>
  </si>
  <si>
    <t>Accrual Basis Thursday, June 12, 2025 02:33 AM GMTZ</t>
  </si>
  <si>
    <t>Purchasers VIP List</t>
  </si>
  <si>
    <t>Name:</t>
  </si>
  <si>
    <t>What batch</t>
  </si>
  <si>
    <t>Machine Colour</t>
  </si>
  <si>
    <t>Name They Want Engraved</t>
  </si>
  <si>
    <t>Steve Pellegrini</t>
  </si>
  <si>
    <t>Second Batch</t>
  </si>
  <si>
    <t>N/A right now</t>
  </si>
  <si>
    <t>Phil Parkinson</t>
  </si>
  <si>
    <t>First Batch</t>
  </si>
  <si>
    <t>Base Plate</t>
  </si>
  <si>
    <t>Steven Yang</t>
  </si>
  <si>
    <t>No Engraving</t>
  </si>
  <si>
    <t>No Response (Base Plate)</t>
  </si>
  <si>
    <t>Bryan Ho</t>
  </si>
  <si>
    <t>Jamie Smyth</t>
  </si>
  <si>
    <t>John Zhou</t>
  </si>
  <si>
    <t>Caroline And Mike</t>
  </si>
  <si>
    <t>Estate Concierge</t>
  </si>
  <si>
    <t>Heal House</t>
  </si>
  <si>
    <t>Marie Kessaris</t>
  </si>
  <si>
    <t>Marie &amp; Sean</t>
  </si>
  <si>
    <t>Jackie &amp; Jason</t>
  </si>
  <si>
    <t>Mike &amp; Paige Ferragina</t>
  </si>
  <si>
    <t>Mark &amp; Connie Beatty</t>
  </si>
  <si>
    <t>Scott Destephanis/Sacha Lalla</t>
  </si>
  <si>
    <t>Sacha Lalla &amp; Scott DeStephanis</t>
  </si>
  <si>
    <t>Prefers No Engraving</t>
  </si>
  <si>
    <t>Shaylen, Dwyke &amp; Mimi Young</t>
  </si>
  <si>
    <t>Doesn't want till way later</t>
  </si>
  <si>
    <t>Salvatore De Cillis</t>
  </si>
  <si>
    <t>Salvatore &amp; Julia De Cillis</t>
  </si>
  <si>
    <t>Bruce Frauley, Michelle</t>
  </si>
  <si>
    <t>Yuanbo (Elisa) Luo</t>
  </si>
  <si>
    <t>Tony Wang</t>
  </si>
  <si>
    <t>Suzanne McRae</t>
  </si>
  <si>
    <t>Greenbelt Enviro</t>
  </si>
  <si>
    <t>Jane Li &amp; Kevin Cheng</t>
  </si>
  <si>
    <t>Tony &amp; Kelley Gonsalves</t>
  </si>
  <si>
    <t>Township of King, Kathryn Mclellan</t>
  </si>
  <si>
    <t>No Engraving But Part of First Batch</t>
  </si>
  <si>
    <t>James E Washington</t>
  </si>
  <si>
    <t>(Joseph) Mark Perera</t>
  </si>
  <si>
    <t>Rongbin Sun (2 units)</t>
  </si>
  <si>
    <t>1 White &amp; 1 Black</t>
  </si>
  <si>
    <t>Total First Batch</t>
  </si>
  <si>
    <t>Total White</t>
  </si>
  <si>
    <t>Total Black</t>
  </si>
  <si>
    <t>Purchasers List</t>
  </si>
  <si>
    <t>Email:</t>
  </si>
  <si>
    <t>Phone:</t>
  </si>
  <si>
    <t>Colour</t>
  </si>
  <si>
    <t>Payment Status</t>
  </si>
  <si>
    <t>Postal Code</t>
  </si>
  <si>
    <t>Phone# Look Up</t>
  </si>
  <si>
    <t>Repon Wealth Management Corp</t>
  </si>
  <si>
    <t>Unpaid, overdue</t>
  </si>
  <si>
    <t>97 Sheppard Ave E.</t>
  </si>
  <si>
    <t>M2N 3A3</t>
  </si>
  <si>
    <t>North York</t>
  </si>
  <si>
    <t>Mr.Han Li</t>
  </si>
  <si>
    <t>437-299-6778</t>
  </si>
  <si>
    <t>Mr.chao Gao</t>
  </si>
  <si>
    <t>514-573-8997</t>
  </si>
  <si>
    <t>Montreal</t>
  </si>
  <si>
    <t>Mr.Wentong Gao</t>
  </si>
  <si>
    <t>905-348-3366</t>
  </si>
  <si>
    <t>St. Catharines</t>
  </si>
  <si>
    <t>519-670-9303</t>
  </si>
  <si>
    <t>$858.80 due in 8 days</t>
  </si>
  <si>
    <t>Age: 55</t>
  </si>
  <si>
    <t>P.P. Box 21054, Wonderland, Rd. S.</t>
  </si>
  <si>
    <t>N6K 0C7</t>
  </si>
  <si>
    <t>London</t>
  </si>
  <si>
    <t>Mr.Chris Collucci</t>
  </si>
  <si>
    <r>
      <rPr>
        <rFont val="Calibri"/>
        <strike/>
        <color rgb="FF0B4CB4"/>
      </rPr>
      <t>chris.collucci@markhamboard.com</t>
    </r>
  </si>
  <si>
    <t>Markham</t>
  </si>
  <si>
    <t>Andrey Shurygin</t>
  </si>
  <si>
    <r>
      <rPr>
        <rFont val="Calibri"/>
        <strike/>
        <color rgb="FF0B4CB4"/>
      </rPr>
      <t>andrey@sibwest.ca</t>
    </r>
  </si>
  <si>
    <t>647-898-5905</t>
  </si>
  <si>
    <t>$751.45 due in 12 days</t>
  </si>
  <si>
    <t>Toronto</t>
  </si>
  <si>
    <t>Sri Kotari</t>
  </si>
  <si>
    <r>
      <rPr>
        <rFont val="Calibri"/>
        <strike/>
        <color rgb="FF0B4CB4"/>
      </rPr>
      <t>skotari@vassutech.com</t>
    </r>
  </si>
  <si>
    <t>647-242-6434</t>
  </si>
  <si>
    <t>$858.80 due in 13 days</t>
  </si>
  <si>
    <t>Mr. Steve Pellegrini (Mayor)</t>
  </si>
  <si>
    <r>
      <rPr>
        <rFont val="Calibri"/>
        <color rgb="FF0B4CB4"/>
        <u/>
      </rPr>
      <t>spellegrini@king.ca</t>
    </r>
  </si>
  <si>
    <t>905-833-5321</t>
  </si>
  <si>
    <t>Paid $858.80</t>
  </si>
  <si>
    <t>Nobelton, King Township</t>
  </si>
  <si>
    <t>King City</t>
  </si>
  <si>
    <r>
      <rPr>
        <rFont val="Calibri"/>
        <color rgb="FF0B4CB4"/>
        <u/>
      </rPr>
      <t>philfparkinson@hotmail.com</t>
    </r>
  </si>
  <si>
    <t>Age: 50, Apartment</t>
  </si>
  <si>
    <t>25 Carlton Street, Unit #409</t>
  </si>
  <si>
    <t>M5B 1L4</t>
  </si>
  <si>
    <r>
      <rPr>
        <rFont val="Calibri"/>
        <color rgb="FF0B4CB4"/>
        <u/>
      </rPr>
      <t>steven.yang@ylhadvisorygroup.ca</t>
    </r>
  </si>
  <si>
    <t>226-989-9377</t>
  </si>
  <si>
    <t>Age: 45, office</t>
  </si>
  <si>
    <t>22 King Street S, Suite 300</t>
  </si>
  <si>
    <t>N2J 1N8</t>
  </si>
  <si>
    <t>Kitchener-Waterloo</t>
  </si>
  <si>
    <t>3101 Kennedy Development Inc. (Mr. Billy Wu)</t>
  </si>
  <si>
    <t xml:space="preserve"> fom</t>
  </si>
  <si>
    <t>Single house</t>
  </si>
  <si>
    <t>150 Estelle Ave</t>
  </si>
  <si>
    <t>M2N 5H7</t>
  </si>
  <si>
    <r>
      <rPr>
        <rFont val="Calibri"/>
        <color rgb="FF0B4CB4"/>
        <u/>
      </rPr>
      <t>bryanthinhho@gmail.com</t>
    </r>
  </si>
  <si>
    <t>Apartment</t>
  </si>
  <si>
    <t>235 Grandravine Dr, Unit 1002</t>
  </si>
  <si>
    <t>M3N 1J2</t>
  </si>
  <si>
    <t>Age: 45</t>
  </si>
  <si>
    <r>
      <rPr>
        <rFont val="Calibri"/>
        <color rgb="FF0B4CB4"/>
        <u/>
      </rPr>
      <t>johnzhou971212@gmail.com</t>
    </r>
  </si>
  <si>
    <t>Age: 35, Apartment</t>
  </si>
  <si>
    <t>1801-3102 Windsor Gate</t>
  </si>
  <si>
    <t>V3B 0J3</t>
  </si>
  <si>
    <t>Coquitlam, BC</t>
  </si>
  <si>
    <r>
      <rPr>
        <rFont val="Calibri"/>
        <strike/>
        <color rgb="FF0B4CB4"/>
      </rPr>
      <t>nicety-repair@hotmail.com</t>
    </r>
  </si>
  <si>
    <t>647-866-0716</t>
  </si>
  <si>
    <t>Paid$402.56</t>
  </si>
  <si>
    <r>
      <rPr>
        <rFont val="Calibri"/>
        <strike/>
        <color rgb="FF0B4CB4"/>
      </rPr>
      <t>hansli0128@gmail.com</t>
    </r>
  </si>
  <si>
    <t>647-886-9128</t>
  </si>
  <si>
    <t>Paid $56.50</t>
  </si>
  <si>
    <t>Purchasers List for CNE Sales up to Aug 30, 2023</t>
  </si>
  <si>
    <t>Caroline And Mike McMaurice</t>
  </si>
  <si>
    <r>
      <rPr>
        <rFont val="Calibri"/>
        <color rgb="FF0B4CB4"/>
        <u/>
      </rPr>
      <t>mcmaurice4@gmail.com</t>
    </r>
  </si>
  <si>
    <t>Paid $665.00</t>
  </si>
  <si>
    <t>2258 Belmont Ct</t>
  </si>
  <si>
    <t>L7P 3N3</t>
  </si>
  <si>
    <t>Burlington</t>
  </si>
  <si>
    <r>
      <rPr>
        <rFont val="Calibri"/>
        <color rgb="FF0B4CB4"/>
        <u/>
      </rPr>
      <t>jimchristie@hotmail.com</t>
    </r>
  </si>
  <si>
    <t>905-706-9444</t>
  </si>
  <si>
    <t>Paid $200.00, $465 Due</t>
  </si>
  <si>
    <t>Ajax-Pickering</t>
  </si>
  <si>
    <r>
      <rPr>
        <rFont val="Calibri"/>
        <color rgb="FF0B4CB4"/>
        <u/>
      </rPr>
      <t>joe.lu@healhouse.ca</t>
    </r>
  </si>
  <si>
    <t>647-832-1522</t>
  </si>
  <si>
    <t>Paid $200.00</t>
  </si>
  <si>
    <t>Business</t>
  </si>
  <si>
    <t>26 Doctors Lane</t>
  </si>
  <si>
    <t>L7B 1G2</t>
  </si>
  <si>
    <t>Marie Kessaris/ Sean Li</t>
  </si>
  <si>
    <r>
      <rPr>
        <rFont val="Calibri"/>
        <color rgb="FF0B4CB4"/>
        <u/>
      </rPr>
      <t>marie.kessaris@gmail.com</t>
    </r>
    <r>
      <rPr>
        <rFont val="Calibri"/>
        <color rgb="FF000000"/>
      </rPr>
      <t>, strife01@gmail.com</t>
    </r>
  </si>
  <si>
    <t>416-648-4716</t>
  </si>
  <si>
    <t>89 Nightstar Dr</t>
  </si>
  <si>
    <t>L4C 8H5</t>
  </si>
  <si>
    <t>Richmond Hill</t>
  </si>
  <si>
    <r>
      <rPr>
        <rFont val="Calibri"/>
        <color rgb="FF0B4CB4"/>
        <u/>
      </rPr>
      <t>dathaot@netzero.net</t>
    </r>
  </si>
  <si>
    <t>416-457-9281</t>
  </si>
  <si>
    <t>64 Tayok Dr</t>
  </si>
  <si>
    <t>L4L 2N2</t>
  </si>
  <si>
    <t>Woodbridge</t>
  </si>
  <si>
    <r>
      <rPr>
        <rFont val="Calibri"/>
        <color rgb="FF0B4CB4"/>
        <u/>
      </rPr>
      <t>tchau1982@gmail.com</t>
    </r>
  </si>
  <si>
    <t>647-677-3044</t>
  </si>
  <si>
    <t>9 Kirk Avenue</t>
  </si>
  <si>
    <t>L1Z 0L6</t>
  </si>
  <si>
    <t>Ajax</t>
  </si>
  <si>
    <r>
      <rPr>
        <rFont val="Calibri"/>
        <color rgb="FF0B4CB4"/>
        <u/>
      </rPr>
      <t>mike.ferragina@gmail.com</t>
    </r>
  </si>
  <si>
    <t>905-868-2000</t>
  </si>
  <si>
    <t>289 Inverness Wy</t>
  </si>
  <si>
    <t>L3Z 0W8</t>
  </si>
  <si>
    <t>Bradford West Gwillimbury</t>
  </si>
  <si>
    <t>647-204-2862</t>
  </si>
  <si>
    <r>
      <rPr>
        <rFont val="Calibri"/>
        <color rgb="FF0B4CB4"/>
        <u/>
      </rPr>
      <t>ofs.phillips@gmail.com</t>
    </r>
  </si>
  <si>
    <t>579-488-2729</t>
  </si>
  <si>
    <t>Townhouse</t>
  </si>
  <si>
    <t>1154 Deep Cove Road</t>
  </si>
  <si>
    <t>V7G 1S3</t>
  </si>
  <si>
    <t>North Vancouver, BC</t>
  </si>
  <si>
    <r>
      <rPr>
        <rFont val="Calibri"/>
        <color rgb="FF0B4CB4"/>
        <u/>
      </rPr>
      <t>markbeatty70@gmail.com</t>
    </r>
    <r>
      <rPr>
        <rFont val="Calibri"/>
      </rPr>
      <t xml:space="preserve">, </t>
    </r>
    <r>
      <rPr>
        <rFont val="Calibri"/>
        <color rgb="FF1155CC"/>
        <u/>
      </rPr>
      <t>conniebeatty333@gmail.com</t>
    </r>
  </si>
  <si>
    <t>613-849-5651</t>
  </si>
  <si>
    <t>109 Dalmas Road</t>
  </si>
  <si>
    <t>K0K 3M0</t>
  </si>
  <si>
    <t>Wooler</t>
  </si>
  <si>
    <r>
      <rPr>
        <rFont val="Calibri"/>
        <color rgb="FF0B4CB4"/>
        <u/>
      </rPr>
      <t>mhaywood@rogers.com</t>
    </r>
  </si>
  <si>
    <t>905-924-0975</t>
  </si>
  <si>
    <t>Semi-detached house</t>
  </si>
  <si>
    <t>265 Galway Crt</t>
  </si>
  <si>
    <t>L1J 6K6</t>
  </si>
  <si>
    <t>Oshawa</t>
  </si>
  <si>
    <t>647-828-5330</t>
  </si>
  <si>
    <r>
      <rPr>
        <rFont val="Calibri"/>
        <color rgb="FF0B4CB4"/>
        <u/>
      </rPr>
      <t>vickic487@gmail.com</t>
    </r>
  </si>
  <si>
    <t>905-686-1526</t>
  </si>
  <si>
    <t>43 Forest Rd</t>
  </si>
  <si>
    <t>L1S 2N2</t>
  </si>
  <si>
    <r>
      <rPr>
        <rFont val="Calibri"/>
        <color rgb="FF0B4CB4"/>
        <u/>
      </rPr>
      <t>shayoung12@hotmail.com</t>
    </r>
  </si>
  <si>
    <t>647-542-0815</t>
  </si>
  <si>
    <t>Scarborough</t>
  </si>
  <si>
    <r>
      <rPr>
        <rFont val="Calibri"/>
        <strike/>
        <color rgb="FF0B4CB4"/>
        <u/>
      </rPr>
      <t>ksobryan@gmail.com</t>
    </r>
  </si>
  <si>
    <t>647-787-9320</t>
  </si>
  <si>
    <t>Refunded $200</t>
  </si>
  <si>
    <t>40 Burnview Cres</t>
  </si>
  <si>
    <t>M1H 1B7</t>
  </si>
  <si>
    <r>
      <rPr>
        <rFont val="Calibri"/>
        <color rgb="FF0B4CB4"/>
        <u/>
      </rPr>
      <t>emailalicia@me.com</t>
    </r>
  </si>
  <si>
    <t>647-825-5830</t>
  </si>
  <si>
    <t>1177 Yonge St, Unit 314</t>
  </si>
  <si>
    <t>M4T 2Y4</t>
  </si>
  <si>
    <r>
      <rPr>
        <rFont val="Calibri"/>
        <color rgb="FF0B4CB4"/>
        <u/>
      </rPr>
      <t>tien1957@hotmail.com</t>
    </r>
  </si>
  <si>
    <t>647-649-0801</t>
  </si>
  <si>
    <t>31 Bengal Court</t>
  </si>
  <si>
    <t>M3L 1X8</t>
  </si>
  <si>
    <r>
      <rPr>
        <rFont val="Calibri"/>
        <color rgb="FF0B4CB4"/>
        <u/>
      </rPr>
      <t>kayla.peppler2013@gmail.com</t>
    </r>
  </si>
  <si>
    <t>519-889-2663</t>
  </si>
  <si>
    <t>Walkerton, ON</t>
  </si>
  <si>
    <t>Name: (not from CNE) 2023</t>
  </si>
  <si>
    <r>
      <rPr>
        <rFont val="Calibri"/>
        <color rgb="FF0B4CB4"/>
        <u/>
      </rPr>
      <t>jasmine@ibd.to</t>
    </r>
  </si>
  <si>
    <t>Huayi</t>
  </si>
  <si>
    <t>Integrated Building &amp; Design Corporation (IBD)</t>
  </si>
  <si>
    <t>400 Creditstone Rd. Units 7&amp;8</t>
  </si>
  <si>
    <t>L4K 3Z3</t>
  </si>
  <si>
    <t>Concord</t>
  </si>
  <si>
    <r>
      <rPr>
        <rFont val="Calibri"/>
        <color rgb="FF0B4CB4"/>
        <u/>
      </rPr>
      <t>doug.bailey@rogers.com</t>
    </r>
  </si>
  <si>
    <t>Chris</t>
  </si>
  <si>
    <t>178 Oakwood Drive</t>
  </si>
  <si>
    <t>N0L 1G3</t>
  </si>
  <si>
    <t>Dorchester</t>
  </si>
  <si>
    <r>
      <rPr>
        <rFont val="Calibri"/>
        <color rgb="FF0B4CB4"/>
        <u/>
      </rPr>
      <t>sam.decillis2@gmail.com</t>
    </r>
  </si>
  <si>
    <t>$950 w/ 30% discount</t>
  </si>
  <si>
    <t>47 Langdon Drive</t>
  </si>
  <si>
    <t>L7B 0L9</t>
  </si>
  <si>
    <r>
      <rPr>
        <rFont val="Calibri"/>
        <color rgb="FF0B4CB4"/>
        <u/>
      </rPr>
      <t>kdubeau.kd@gmail.com</t>
    </r>
  </si>
  <si>
    <t>Newmarket</t>
  </si>
  <si>
    <r>
      <rPr>
        <rFont val="Calibri"/>
        <color rgb="FF0B4CB4"/>
        <u/>
      </rPr>
      <t>d.forster@sympatico.ca</t>
    </r>
  </si>
  <si>
    <t>Paid $429.40</t>
  </si>
  <si>
    <t>7143 Silver Creek Cir.</t>
  </si>
  <si>
    <t>N6P 0G9</t>
  </si>
  <si>
    <r>
      <rPr>
        <rFont val="Calibri"/>
        <color rgb="FF0B4CB4"/>
        <u/>
      </rPr>
      <t>frauls5@hotmail.com, michelle@hospall.com</t>
    </r>
  </si>
  <si>
    <t>Paid $375.73</t>
  </si>
  <si>
    <t>George</t>
  </si>
  <si>
    <t>Age: 52, single house</t>
  </si>
  <si>
    <r>
      <rPr>
        <rFont val="Calibri"/>
        <color rgb="FF0B4CB4"/>
        <u/>
      </rPr>
      <t>chris@aubretia.ca</t>
    </r>
    <r>
      <rPr>
        <rFont val="Calibri"/>
      </rPr>
      <t xml:space="preserve">, </t>
    </r>
    <r>
      <rPr>
        <rFont val="Calibri"/>
        <color rgb="FF1155CC"/>
        <u/>
      </rPr>
      <t>cbirtch@ieee.org</t>
    </r>
  </si>
  <si>
    <t>Age: 48, single house</t>
  </si>
  <si>
    <t>930 Waterloo St</t>
  </si>
  <si>
    <t>N6A 3X3</t>
  </si>
  <si>
    <r>
      <rPr>
        <rFont val="Calibri"/>
        <color rgb="FF0B4CB4"/>
        <u/>
      </rPr>
      <t>emmage070@gmail.com</t>
    </r>
  </si>
  <si>
    <t>Age: 50, single house</t>
  </si>
  <si>
    <t>Lawrence &amp; Bayview</t>
  </si>
  <si>
    <r>
      <rPr>
        <rFont val="Calibri"/>
        <color rgb="FF0B4CB4"/>
        <u/>
      </rPr>
      <t>jgliao@gmail.com</t>
    </r>
  </si>
  <si>
    <t>17 Silk Court</t>
  </si>
  <si>
    <t>L4B 4A4</t>
  </si>
  <si>
    <t>Annie512@live.ca</t>
  </si>
  <si>
    <t>Age: 55, single house</t>
  </si>
  <si>
    <t>7 Pitkin Crt</t>
  </si>
  <si>
    <t>M6M 2P4</t>
  </si>
  <si>
    <r>
      <rPr>
        <rFont val="Calibri"/>
        <color rgb="FF0B4CB4"/>
        <u/>
      </rPr>
      <t>melody.z.tao@gmail.com</t>
    </r>
  </si>
  <si>
    <t>Age: 60, single house</t>
  </si>
  <si>
    <t>71 Cherrystone Drive</t>
  </si>
  <si>
    <t>M2H 1S2</t>
  </si>
  <si>
    <t>Allen Yi</t>
  </si>
  <si>
    <r>
      <rPr>
        <rFont val="Calibri"/>
        <strike/>
        <color rgb="FF0B4CB4"/>
      </rPr>
      <t>jessie_hu2000@hotmail.com</t>
    </r>
  </si>
  <si>
    <t>We chat</t>
  </si>
  <si>
    <t>24 Austin Rumble Crt</t>
  </si>
  <si>
    <t>L7B 0B1</t>
  </si>
  <si>
    <t>Paid $500.00</t>
  </si>
  <si>
    <t>Age: 65, single house, veg. gardening</t>
  </si>
  <si>
    <t>Tony Wang (Huimin Wang)</t>
  </si>
  <si>
    <r>
      <rPr>
        <rFont val="Calibri"/>
        <color rgb="FF0B4CB4"/>
        <u/>
      </rPr>
      <t>jeff.torcn.com@gmail.com</t>
    </r>
  </si>
  <si>
    <t>22 Dovedale Dr</t>
  </si>
  <si>
    <t>L4P 4C3</t>
  </si>
  <si>
    <t>Georgina</t>
  </si>
  <si>
    <r>
      <rPr>
        <rFont val="Calibri"/>
        <color rgb="FF0B4CB4"/>
        <u/>
      </rPr>
      <t>chuyuzhou7293873@gmail.com</t>
    </r>
  </si>
  <si>
    <t>191 Canyon Hill Ave</t>
  </si>
  <si>
    <t>L4C 0R4</t>
  </si>
  <si>
    <r>
      <rPr>
        <rFont val="Calibri"/>
        <color rgb="FF0B4CB4"/>
        <u/>
      </rPr>
      <t>suemmcrae@gmail.com</t>
    </r>
  </si>
  <si>
    <t>416-624-9647</t>
  </si>
  <si>
    <r>
      <rPr>
        <rFont val="Calibri"/>
        <color rgb="FF0B4CB4"/>
        <u/>
      </rPr>
      <t>kirk@beatty-machine.com</t>
    </r>
  </si>
  <si>
    <t>905-767-6995</t>
  </si>
  <si>
    <t>Grafton</t>
  </si>
  <si>
    <t>Waste &amp; Recycling Expo 2023</t>
  </si>
  <si>
    <t>647-969-7087</t>
  </si>
  <si>
    <t>Paid $600.00</t>
  </si>
  <si>
    <t>10 Brockton Ave.</t>
  </si>
  <si>
    <t>M6K 1S5</t>
  </si>
  <si>
    <t>Fall Home Show 2023</t>
  </si>
  <si>
    <r>
      <rPr>
        <rFont val="Calibri"/>
        <color rgb="FF1155CC"/>
        <u/>
      </rPr>
      <t>nannaenza@rogers.com</t>
    </r>
    <r>
      <rPr>
        <rFont val="Calibri"/>
        <color rgb="FF000000"/>
      </rPr>
      <t xml:space="preserve"> (email corrected)</t>
    </r>
  </si>
  <si>
    <t>416-721-0600</t>
  </si>
  <si>
    <t>Paid $751.45</t>
  </si>
  <si>
    <t>Age: 65, single house</t>
  </si>
  <si>
    <t>Kleinburg, Vaughan</t>
  </si>
  <si>
    <t>15 Charlotte Angliss Road</t>
  </si>
  <si>
    <t>L3P 7W6</t>
  </si>
  <si>
    <t>Kelley Gonsalves (&amp; Antonio)</t>
  </si>
  <si>
    <r>
      <rPr>
        <rFont val="Calibri"/>
        <color rgb="FF1155CC"/>
        <u/>
      </rPr>
      <t>reikiwithkelley@gmail.com</t>
    </r>
    <r>
      <rPr>
        <rFont val="Calibri"/>
      </rPr>
      <t xml:space="preserve">, kelley.gonsalves@suse.com, agonsalves@beanfield.com </t>
    </r>
  </si>
  <si>
    <t>437-238-2147</t>
  </si>
  <si>
    <t>582 Daylight Court</t>
  </si>
  <si>
    <t>L1V 6A9</t>
  </si>
  <si>
    <t>Pickering</t>
  </si>
  <si>
    <t>Offline directly 2023</t>
  </si>
  <si>
    <t>905-833-6555</t>
  </si>
  <si>
    <t>Paid $664.10</t>
  </si>
  <si>
    <t>National Home Show 2024</t>
  </si>
  <si>
    <r>
      <rPr>
        <rFont val="Calibri"/>
        <color rgb="FF0B4CB4"/>
        <u/>
      </rPr>
      <t>liv_1976@hotmail.com</t>
    </r>
  </si>
  <si>
    <t>Zaria/Erin</t>
  </si>
  <si>
    <t>34 Woodsmere Drive</t>
  </si>
  <si>
    <t>N2P 2X2</t>
  </si>
  <si>
    <t>Kitchener</t>
  </si>
  <si>
    <r>
      <rPr>
        <rFont val="Calibri"/>
        <color rgb="FF0B4CB4"/>
        <u/>
      </rPr>
      <t>robertfacchini1992@gmail.com</t>
    </r>
    <r>
      <rPr>
        <rFont val="Calibri"/>
      </rPr>
      <t>, mylenecanzumba@ymail.com</t>
    </r>
  </si>
  <si>
    <t>289-892-4333</t>
  </si>
  <si>
    <t>George/Zaria</t>
  </si>
  <si>
    <t>19658 Shaws Creek Rd.</t>
  </si>
  <si>
    <t>L7K 1K5</t>
  </si>
  <si>
    <t>Alton</t>
  </si>
  <si>
    <r>
      <rPr>
        <rFont val="Calibri"/>
        <color rgb="FF0B4CB4"/>
        <u/>
      </rPr>
      <t>kelly@kellybeans.com</t>
    </r>
  </si>
  <si>
    <t>Zaria</t>
  </si>
  <si>
    <t>76 Cadorna Ave</t>
  </si>
  <si>
    <t>M4J 3X1</t>
  </si>
  <si>
    <r>
      <rPr>
        <rFont val="Calibri"/>
        <color rgb="FF0B4CB4"/>
        <u/>
      </rPr>
      <t>elayne_001@rogers.com</t>
    </r>
  </si>
  <si>
    <t>547 Steeles Ave W, #58</t>
  </si>
  <si>
    <t>M2M 3Y1</t>
  </si>
  <si>
    <r>
      <rPr>
        <rFont val="Calibri"/>
        <color rgb="FF0B4CB4"/>
        <u/>
      </rPr>
      <t>peterprytula@gmail.com</t>
    </r>
  </si>
  <si>
    <t>416-843-6434</t>
  </si>
  <si>
    <t>Zaria/Erin/Huayi</t>
  </si>
  <si>
    <t>124 Saturn Rd.</t>
  </si>
  <si>
    <t>M9C 2S6</t>
  </si>
  <si>
    <t>Etobicoke</t>
  </si>
  <si>
    <r>
      <rPr>
        <rFont val="Calibri"/>
        <color rgb="FF0B4CB4"/>
        <u/>
      </rPr>
      <t>madmike2021@hotmail.com</t>
    </r>
  </si>
  <si>
    <t>647-838-8242</t>
  </si>
  <si>
    <t>George/Zaria/Erin</t>
  </si>
  <si>
    <t>436527 4th Line</t>
  </si>
  <si>
    <t>L9V 1S6</t>
  </si>
  <si>
    <t>Melancthon</t>
  </si>
  <si>
    <r>
      <rPr>
        <rFont val="Calibri"/>
        <color rgb="FF0B4CB4"/>
        <u/>
      </rPr>
      <t>smilesarefree6@gmail.com</t>
    </r>
  </si>
  <si>
    <t>905-330-5289</t>
  </si>
  <si>
    <t>6 Buchanan Cres</t>
  </si>
  <si>
    <t>Thorold</t>
  </si>
  <si>
    <r>
      <rPr>
        <rFont val="Calibri"/>
        <color rgb="FF0B4CB4"/>
        <u/>
      </rPr>
      <t>franntastic@hotmail.com</t>
    </r>
  </si>
  <si>
    <t>7876 Charnwood Ave</t>
  </si>
  <si>
    <t>L2H 3E2</t>
  </si>
  <si>
    <t>Niagara Falls</t>
  </si>
  <si>
    <r>
      <rPr>
        <rFont val="Calibri"/>
        <color rgb="FF0B4CB4"/>
        <u/>
      </rPr>
      <t>cb.grant@hotmail.com</t>
    </r>
  </si>
  <si>
    <t>905-301-7988</t>
  </si>
  <si>
    <t>3 Father Redmond Way</t>
  </si>
  <si>
    <t>M8W 2L1</t>
  </si>
  <si>
    <r>
      <rPr>
        <rFont val="Calibri"/>
        <color rgb="FF0B4CB4"/>
        <u/>
      </rPr>
      <t>editandmike2015@gmail.com</t>
    </r>
  </si>
  <si>
    <t>416-219-9200</t>
  </si>
  <si>
    <t>Zaria/George</t>
  </si>
  <si>
    <t>2132 Coronation Blvd</t>
  </si>
  <si>
    <t>N3H 3S7</t>
  </si>
  <si>
    <t>Cambridge</t>
  </si>
  <si>
    <r>
      <rPr>
        <rFont val="Calibri"/>
        <strike/>
        <color rgb="FF0B4CB4"/>
        <u/>
      </rPr>
      <t>a1ob@yahoo.com</t>
    </r>
  </si>
  <si>
    <t>416-565-7443</t>
  </si>
  <si>
    <t>Refunded $1,067.85</t>
  </si>
  <si>
    <t>202 Richview Ave</t>
  </si>
  <si>
    <t>M5P 3G3</t>
  </si>
  <si>
    <r>
      <rPr>
        <rFont val="Calibri"/>
        <color rgb="FF0B4CB4"/>
        <u/>
      </rPr>
      <t>rinellat@hotmail.com</t>
    </r>
  </si>
  <si>
    <t>416-783-2550</t>
  </si>
  <si>
    <t>16 Marianfeld Ave</t>
  </si>
  <si>
    <t>M6B 3W3</t>
  </si>
  <si>
    <r>
      <rPr>
        <rFont val="Calibri"/>
        <color rgb="FF0B4CB4"/>
        <u/>
      </rPr>
      <t>jillwash06@gmail.com</t>
    </r>
  </si>
  <si>
    <t>647-225-0228</t>
  </si>
  <si>
    <t>3490 Grandforks</t>
  </si>
  <si>
    <t>L4Y 3M9</t>
  </si>
  <si>
    <t>Mississauga</t>
  </si>
  <si>
    <r>
      <rPr>
        <rFont val="Calibri"/>
        <color rgb="FF0B4CB4"/>
        <u/>
      </rPr>
      <t>yunfeil@live.com</t>
    </r>
  </si>
  <si>
    <t>437-425-9991</t>
  </si>
  <si>
    <t>Paid $991.58</t>
  </si>
  <si>
    <t>68 Dudley Ave</t>
  </si>
  <si>
    <t>M2N 6N9</t>
  </si>
  <si>
    <t>Spring Cottage Life Show 2024</t>
  </si>
  <si>
    <r>
      <rPr>
        <rFont val="Calibri"/>
        <color rgb="FF0B4CB4"/>
        <u/>
      </rPr>
      <t>alpcelebi@live.com</t>
    </r>
  </si>
  <si>
    <t>416-876-0466</t>
  </si>
  <si>
    <t>26 Lucky Court</t>
  </si>
  <si>
    <t>L9L 5R4</t>
  </si>
  <si>
    <t>(Joseph) Mark &amp; Sandrine Perera</t>
  </si>
  <si>
    <r>
      <rPr>
        <rFont val="Calibri"/>
        <color rgb="FF0B4CB4"/>
        <u/>
      </rPr>
      <t>srmperera@gmail.com</t>
    </r>
    <r>
      <rPr>
        <rFont val="Calibri"/>
      </rPr>
      <t xml:space="preserve"> jmarksperera@gmail.com </t>
    </r>
  </si>
  <si>
    <t>416-457-9648</t>
  </si>
  <si>
    <t>240 Hills Point Rd</t>
  </si>
  <si>
    <t>E3L 4J8</t>
  </si>
  <si>
    <t>Oak Bay</t>
  </si>
  <si>
    <t>Aurora Home Show 2024</t>
  </si>
  <si>
    <t>Ruining Guo</t>
  </si>
  <si>
    <r>
      <rPr>
        <rFont val="Calibri"/>
        <color rgb="FF0B4CB4"/>
        <u/>
      </rPr>
      <t>ruiping_guo@hotmail.com</t>
    </r>
  </si>
  <si>
    <t>647-299-7441</t>
  </si>
  <si>
    <t>Julie/Erin</t>
  </si>
  <si>
    <t>19 Glorious Song Lane</t>
  </si>
  <si>
    <t>Aurora</t>
  </si>
  <si>
    <t>Aurora Street Festival 2024</t>
  </si>
  <si>
    <t>416-939-3666</t>
  </si>
  <si>
    <t>Erin</t>
  </si>
  <si>
    <t>74 Dunning Ave</t>
  </si>
  <si>
    <t>L4G 1A3</t>
  </si>
  <si>
    <t>CNE 2024</t>
  </si>
  <si>
    <t>peter.philips21@gmail.com</t>
  </si>
  <si>
    <t>416-990-4284</t>
  </si>
  <si>
    <t>Julie</t>
  </si>
  <si>
    <t>36 Johnson Cres</t>
  </si>
  <si>
    <t>L7G 6C9</t>
  </si>
  <si>
    <t>Georgetown</t>
  </si>
  <si>
    <t>Marilynne Oskamp -&gt; Mary Oskamp</t>
  </si>
  <si>
    <t>613-955-0972</t>
  </si>
  <si>
    <t>12 Pulla St</t>
  </si>
  <si>
    <t>K8V 5P7</t>
  </si>
  <si>
    <t>Trenton</t>
  </si>
  <si>
    <t>Other 2024</t>
  </si>
  <si>
    <r>
      <rPr>
        <rFont val="Calibri"/>
        <color rgb="FF1155CC"/>
        <u/>
      </rPr>
      <t>lynn@claz.ca</t>
    </r>
    <r>
      <rPr>
        <rFont val="Calibri"/>
      </rPr>
      <t xml:space="preserve">, </t>
    </r>
    <r>
      <rPr>
        <rFont val="Calibri"/>
        <color rgb="FF1155CC"/>
        <u/>
      </rPr>
      <t>info@lynncpa.ca</t>
    </r>
    <r>
      <rPr>
        <rFont val="Calibri"/>
      </rPr>
      <t xml:space="preserve"> </t>
    </r>
  </si>
  <si>
    <t>416-662-7651</t>
  </si>
  <si>
    <t>9225 Leslie St., 2nd Floor</t>
  </si>
  <si>
    <t>L4V 3H6</t>
  </si>
  <si>
    <t>26 Woodmans Crt.</t>
  </si>
  <si>
    <t>N2P 2P2</t>
  </si>
  <si>
    <t>Michael Lai</t>
  </si>
  <si>
    <t>Rongbin Sun (ordered 70 units, will only get 1 to start)</t>
  </si>
  <si>
    <t xml:space="preserve">sunrongbing@hotmail.com </t>
  </si>
  <si>
    <t>RIS</t>
  </si>
  <si>
    <t>Junaid Siddiqui</t>
  </si>
  <si>
    <t>Junaid</t>
  </si>
  <si>
    <t xml:space="preserve">91 Old Finch Avenue </t>
  </si>
  <si>
    <t>647-299-7002</t>
  </si>
  <si>
    <t>Paid 1,128.87</t>
  </si>
  <si>
    <t>4 Snowdrop Pl</t>
  </si>
  <si>
    <t>L6P 3Y6</t>
  </si>
  <si>
    <t>Brampton</t>
  </si>
  <si>
    <t>National Home Show 2025</t>
  </si>
  <si>
    <t>Paid 200</t>
  </si>
  <si>
    <t>Leita</t>
  </si>
  <si>
    <t xml:space="preserve">675369 16th Line, R.R.I, </t>
  </si>
  <si>
    <t>N0J 1M0</t>
  </si>
  <si>
    <t>Innerkip</t>
  </si>
  <si>
    <t>Hillary</t>
  </si>
  <si>
    <t>Shopify</t>
  </si>
  <si>
    <t>Paid US$1156.00</t>
  </si>
  <si>
    <t>California, USA</t>
  </si>
  <si>
    <t>USA</t>
  </si>
  <si>
    <r>
      <rPr>
        <rFont val="Calibri"/>
        <color rgb="FF1155CC"/>
        <u/>
      </rPr>
      <t>fryerthedude@hotmail.com</t>
    </r>
    <r>
      <rPr>
        <rFont val="Calibri"/>
      </rPr>
      <t xml:space="preserve"> </t>
    </r>
  </si>
  <si>
    <t>Paid $687.04</t>
  </si>
  <si>
    <t>1906 Hennessy Cres</t>
  </si>
  <si>
    <t>K4A 3X7</t>
  </si>
  <si>
    <t>Ottawa</t>
  </si>
  <si>
    <r>
      <rPr>
        <rFont val="Calibri"/>
        <color rgb="FF0B4CB4"/>
        <u/>
      </rPr>
      <t>ellery.bunn@gmail.com</t>
    </r>
  </si>
  <si>
    <t>416-797-9143</t>
  </si>
  <si>
    <t>Paid $199</t>
  </si>
  <si>
    <t>182 Southcrest Dr</t>
  </si>
  <si>
    <t>L0C 1G0</t>
  </si>
  <si>
    <t>Seagrave</t>
  </si>
  <si>
    <t>Office</t>
  </si>
  <si>
    <t>180 Northfield Drive West Unit 4</t>
  </si>
  <si>
    <t>N2L 0C7</t>
  </si>
  <si>
    <t>Waterloo</t>
  </si>
  <si>
    <t>Paid $224.87</t>
  </si>
  <si>
    <t>4 Pineway Blvd</t>
  </si>
  <si>
    <t>M2H 1A1</t>
  </si>
  <si>
    <t>Paid 1,354.87</t>
  </si>
  <si>
    <t>60 Courtney St</t>
  </si>
  <si>
    <t>N1M 0E5</t>
  </si>
  <si>
    <t>Fergus</t>
  </si>
  <si>
    <t>George Sales</t>
  </si>
  <si>
    <t>Total</t>
  </si>
  <si>
    <t>79 + 79 units (extra for Rongbin) + 1 unit (extra for Adam M)</t>
  </si>
  <si>
    <t>**Reach out to Chris Stagg, online customer interested in LILA once we're able to ship (returned lomi)</t>
  </si>
  <si>
    <t>Exclusive Names check</t>
  </si>
  <si>
    <t>Names only on "Purchaser List"</t>
  </si>
  <si>
    <t>Names only on "Invoices" list</t>
  </si>
  <si>
    <r>
      <rPr>
        <rFont val="Arial"/>
        <color rgb="FF000000"/>
      </rPr>
      <t xml:space="preserve">-Allen Yi - </t>
    </r>
    <r>
      <rPr>
        <rFont val="Arial"/>
        <b/>
        <color rgb="FF000000"/>
      </rPr>
      <t>Refunded</t>
    </r>
  </si>
  <si>
    <t>Alan and Susan Weinrib</t>
  </si>
  <si>
    <r>
      <rPr>
        <rFont val="Arial"/>
        <color rgb="FF000000"/>
      </rPr>
      <t xml:space="preserve">-Audrey Shurygin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</si>
  <si>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-Hans Li - </t>
    </r>
    <r>
      <rPr>
        <rFont val="Arial"/>
        <b/>
        <color rgb="FF000000"/>
      </rPr>
      <t>Delete it</t>
    </r>
  </si>
  <si>
    <r>
      <rPr>
        <rFont val="Arial"/>
        <color rgb="FF000000"/>
      </rPr>
      <t xml:space="preserve">-Kai Guo - </t>
    </r>
    <r>
      <rPr>
        <rFont val="Arial"/>
        <b/>
        <color rgb="FF000000"/>
      </rPr>
      <t>Trans Circle Clean Energy Inc.</t>
    </r>
  </si>
  <si>
    <r>
      <rPr>
        <rFont val="Arial"/>
        <color rgb="FF000000"/>
      </rPr>
      <t xml:space="preserve">-Karen Dubeau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</si>
  <si>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-Kimberly Mayers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</si>
  <si>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-Jim Ford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</si>
  <si>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-Tim Li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</si>
  <si>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-Han Li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</si>
  <si>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-Wentong Gao - </t>
    </r>
    <r>
      <rPr>
        <rFont val="Arial"/>
        <b/>
        <color rgb="FF000000"/>
      </rPr>
      <t>Delete him</t>
    </r>
  </si>
  <si>
    <r>
      <rPr>
        <rFont val="Arial"/>
        <color rgb="FF000000"/>
      </rPr>
      <t xml:space="preserve">-Omniya Hussein - </t>
    </r>
    <r>
      <rPr>
        <rFont val="Arial"/>
        <b/>
        <color rgb="FF000000"/>
      </rPr>
      <t>Ask Junaid</t>
    </r>
  </si>
  <si>
    <r>
      <rPr>
        <rFont val="Arial"/>
        <color rgb="FF000000"/>
      </rPr>
      <t xml:space="preserve">-Prema Vaidyanethen - </t>
    </r>
    <r>
      <rPr>
        <rFont val="Arial"/>
        <b/>
        <color rgb="FF000000"/>
      </rPr>
      <t>Refunded</t>
    </r>
  </si>
  <si>
    <r>
      <rPr>
        <rFont val="Arial"/>
        <color rgb="FF000000"/>
      </rPr>
      <t xml:space="preserve">-Repon Wealth Management Corp - </t>
    </r>
    <r>
      <rPr>
        <rFont val="Arial"/>
        <b/>
        <color rgb="FF000000"/>
      </rPr>
      <t>Delete them</t>
    </r>
  </si>
  <si>
    <r>
      <rPr>
        <rFont val="Arial"/>
        <color rgb="FF000000"/>
      </rPr>
      <t xml:space="preserve">-Rongbin Sun - </t>
    </r>
    <r>
      <rPr>
        <rFont val="Arial"/>
        <b/>
        <color rgb="FF000000"/>
      </rPr>
      <t>Getting 78-80 total</t>
    </r>
  </si>
  <si>
    <r>
      <rPr>
        <rFont val="Arial"/>
        <color rgb="FF000000"/>
      </rPr>
      <t xml:space="preserve">-Ruining Guo - </t>
    </r>
    <r>
      <rPr>
        <rFont val="Arial"/>
        <b/>
        <color rgb="FF000000"/>
      </rPr>
      <t>Refunded</t>
    </r>
  </si>
  <si>
    <t>Crossed out = Refunded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</si>
</sst>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"/>
    <numFmt numFmtId="166" formatCode="\$#,##0.00"/>
  </numFmts>
  <fonts count="43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sz val="12.0"/>
      <color theme="1"/>
      <name val="Calibri"/>
    </font>
    <font>
      <color rgb="FF222222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222222"/>
      <name val="Arial"/>
    </font>
    <font>
      <sz val="11.0"/>
      <color rgb="FF222222"/>
      <name val="Calibri"/>
    </font>
    <font>
      <b/>
      <sz val="14.0"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Arial"/>
      <scheme val="minor"/>
    </font>
    <font>
      <b/>
      <sz val="8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8.0"/>
      <color theme="1"/>
      <name val="Calibri"/>
    </font>
    <font>
      <b/>
      <color theme="1"/>
      <name val="Arial"/>
    </font>
    <font>
      <b/>
      <sz val="14.0"/>
      <color theme="1"/>
      <name val="Calibri"/>
    </font>
    <font>
      <color theme="1"/>
      <name val="Arial"/>
    </font>
    <font>
      <b/>
      <color theme="1"/>
      <name val="Calibri"/>
    </font>
    <font>
      <color theme="1"/>
      <name val="Calibri"/>
    </font>
    <font>
      <strike/>
      <color theme="1"/>
      <name val="Calibri"/>
    </font>
    <font>
      <strike/>
      <u/>
      <color rgb="FF0B4CB4"/>
      <name val="Calibri"/>
    </font>
    <font>
      <strike/>
      <u/>
      <color theme="1"/>
      <name val="Calibri"/>
    </font>
    <font>
      <strike/>
      <u/>
      <color theme="1"/>
      <name val="Calibri"/>
    </font>
    <font>
      <strike/>
      <u/>
      <color rgb="FF1155CC"/>
      <name val="Calibri"/>
    </font>
    <font>
      <u/>
      <color rgb="FF1155CC"/>
      <name val="Calibri"/>
    </font>
    <font>
      <color rgb="FF000000"/>
      <name val="Calibri"/>
    </font>
    <font>
      <color rgb="FF222222"/>
      <name val="Calibri"/>
    </font>
    <font>
      <u/>
      <color rgb="FF0000FF"/>
      <name val="Calibri"/>
    </font>
    <font>
      <u/>
      <color rgb="FF0B4CB4"/>
      <name val="Calibri"/>
    </font>
    <font>
      <color rgb="FF161516"/>
      <name val="Calibri"/>
    </font>
    <font>
      <u/>
      <color rgb="FF0000FF"/>
      <name val="Calibri"/>
    </font>
    <font>
      <color rgb="FF262626"/>
      <name val="Calibri"/>
    </font>
    <font>
      <strike/>
      <color rgb="FF262626"/>
      <name val="Calibri"/>
    </font>
    <font>
      <u/>
      <color rgb="FF1155CC"/>
      <name val="Calibri"/>
    </font>
    <font>
      <color theme="1"/>
      <name val="Docs-Calibri"/>
    </font>
    <font>
      <u/>
      <color theme="1"/>
      <name val="Calibri"/>
    </font>
    <font>
      <color rgb="FF303030"/>
      <name val="Calibri"/>
    </font>
    <font>
      <b/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990000"/>
        <bgColor rgb="FF990000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C08906"/>
        <bgColor rgb="FFC08906"/>
      </patternFill>
    </fill>
  </fills>
  <borders count="12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10" xfId="0" applyAlignment="1" applyFont="1" applyNumberForma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3" numFmtId="10" xfId="0" applyAlignment="1" applyFill="1" applyFont="1" applyNumberForma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vertical="bottom" wrapText="0"/>
    </xf>
    <xf borderId="0" fillId="2" fontId="3" numFmtId="164" xfId="0" applyAlignment="1" applyFont="1" applyNumberForma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164" xfId="0" applyAlignment="1" applyFont="1" applyNumberFormat="1">
      <alignment horizontal="right" shrinkToFit="0" vertical="bottom" wrapText="1"/>
    </xf>
    <xf borderId="0" fillId="2" fontId="3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4" fontId="4" numFmtId="0" xfId="0" applyAlignment="1" applyFill="1" applyFont="1">
      <alignment readingOrder="0" shrinkToFit="0" vertical="bottom" wrapText="0"/>
    </xf>
    <xf borderId="0" fillId="2" fontId="2" numFmtId="0" xfId="0" applyFont="1"/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6" fontId="4" numFmtId="0" xfId="0" applyAlignment="1" applyFont="1">
      <alignment readingOrder="0" shrinkToFit="0" vertical="bottom" wrapText="0"/>
    </xf>
    <xf borderId="0" fillId="6" fontId="3" numFmtId="164" xfId="0" applyAlignment="1" applyFont="1" applyNumberFormat="1">
      <alignment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164" xfId="0" applyAlignment="1" applyFont="1" applyNumberFormat="1">
      <alignment horizontal="right" shrinkToFit="0" vertical="bottom" wrapText="1"/>
    </xf>
    <xf borderId="0" fillId="6" fontId="3" numFmtId="0" xfId="0" applyAlignment="1" applyFont="1">
      <alignment shrinkToFit="0" vertical="bottom" wrapText="1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165" xfId="0" applyAlignment="1" applyFont="1" applyNumberFormat="1">
      <alignment readingOrder="0" shrinkToFit="0" vertical="center" wrapText="0"/>
    </xf>
    <xf borderId="0" fillId="6" fontId="4" numFmtId="0" xfId="0" applyAlignment="1" applyFont="1">
      <alignment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7" fontId="3" numFmtId="10" xfId="0" applyAlignment="1" applyFill="1" applyFont="1" applyNumberFormat="1">
      <alignment shrinkToFit="0" vertical="bottom" wrapText="1"/>
    </xf>
    <xf borderId="0" fillId="7" fontId="3" numFmtId="0" xfId="0" applyAlignment="1" applyFont="1">
      <alignment readingOrder="0" shrinkToFit="0" vertical="bottom" wrapText="1"/>
    </xf>
    <xf borderId="0" fillId="7" fontId="4" numFmtId="0" xfId="0" applyAlignment="1" applyFont="1">
      <alignment readingOrder="0" shrinkToFit="0" vertical="bottom" wrapText="0"/>
    </xf>
    <xf borderId="0" fillId="7" fontId="3" numFmtId="164" xfId="0" applyAlignment="1" applyFont="1" applyNumberFormat="1">
      <alignment shrinkToFit="0" vertical="bottom" wrapText="1"/>
    </xf>
    <xf borderId="0" fillId="7" fontId="3" numFmtId="0" xfId="0" applyAlignment="1" applyFont="1">
      <alignment shrinkToFit="0" vertical="bottom" wrapText="1"/>
    </xf>
    <xf borderId="0" fillId="7" fontId="3" numFmtId="164" xfId="0" applyAlignment="1" applyFont="1" applyNumberFormat="1">
      <alignment horizontal="right" shrinkToFit="0" vertical="bottom" wrapText="1"/>
    </xf>
    <xf borderId="0" fillId="7" fontId="3" numFmtId="0" xfId="0" applyAlignment="1" applyFont="1">
      <alignment shrinkToFit="0" vertical="bottom" wrapText="1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165" xfId="0" applyAlignment="1" applyFont="1" applyNumberForma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4" numFmtId="0" xfId="0" applyAlignment="1" applyFont="1">
      <alignment readingOrder="0" shrinkToFit="0" vertical="bottom" wrapText="0"/>
    </xf>
    <xf borderId="0" fillId="7" fontId="5" numFmtId="0" xfId="0" applyAlignment="1" applyFont="1">
      <alignment readingOrder="0" shrinkToFit="0" vertical="center" wrapText="0"/>
    </xf>
    <xf borderId="0" fillId="7" fontId="4" numFmtId="0" xfId="0" applyAlignment="1" applyFont="1">
      <alignment horizontal="center" readingOrder="0" shrinkToFit="0" vertical="bottom" wrapText="0"/>
    </xf>
    <xf borderId="0" fillId="6" fontId="2" numFmtId="0" xfId="0" applyFont="1"/>
    <xf borderId="0" fillId="7" fontId="2" numFmtId="0" xfId="0" applyFont="1"/>
    <xf borderId="0" fillId="6" fontId="3" numFmtId="10" xfId="0" applyAlignment="1" applyFont="1" applyNumberFormat="1">
      <alignment shrinkToFit="0" vertical="bottom" wrapText="1"/>
    </xf>
    <xf borderId="0" fillId="6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2" fontId="2" numFmtId="0" xfId="0" applyAlignment="1" applyFont="1">
      <alignment shrinkToFit="0" vertical="center" wrapText="0"/>
    </xf>
    <xf borderId="0" fillId="2" fontId="2" numFmtId="165" xfId="0" applyAlignment="1" applyFont="1" applyNumberForma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0"/>
    </xf>
    <xf borderId="0" fillId="6" fontId="3" numFmtId="0" xfId="0" applyAlignment="1" applyFont="1">
      <alignment readingOrder="0" shrinkToFit="0" vertical="bottom" wrapText="1"/>
    </xf>
    <xf borderId="0" fillId="6" fontId="2" numFmtId="0" xfId="0" applyAlignment="1" applyFont="1">
      <alignment shrinkToFit="0" vertical="center" wrapText="0"/>
    </xf>
    <xf borderId="0" fillId="6" fontId="2" numFmtId="165" xfId="0" applyAlignment="1" applyFont="1" applyNumberFormat="1">
      <alignment shrinkToFit="0" vertical="center" wrapText="0"/>
    </xf>
    <xf borderId="0" fillId="6" fontId="2" numFmtId="0" xfId="0" applyAlignment="1" applyFont="1">
      <alignment shrinkToFit="0" vertical="center" wrapText="0"/>
    </xf>
    <xf borderId="0" fillId="6" fontId="4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4" fontId="4" numFmtId="0" xfId="0" applyAlignment="1" applyFont="1">
      <alignment shrinkToFit="0" vertical="bottom" wrapText="0"/>
    </xf>
    <xf borderId="0" fillId="6" fontId="7" numFmtId="0" xfId="0" applyAlignment="1" applyFont="1">
      <alignment readingOrder="0" shrinkToFit="0" vertical="center" wrapText="0"/>
    </xf>
    <xf borderId="0" fillId="8" fontId="5" numFmtId="0" xfId="0" applyAlignment="1" applyFill="1" applyFont="1">
      <alignment readingOrder="0" shrinkToFit="0" vertical="center" wrapText="0"/>
    </xf>
    <xf borderId="0" fillId="8" fontId="8" numFmtId="0" xfId="0" applyAlignment="1" applyFont="1">
      <alignment readingOrder="0" shrinkToFit="0" vertical="center" wrapText="0"/>
    </xf>
    <xf borderId="0" fillId="9" fontId="2" numFmtId="0" xfId="0" applyFill="1" applyFont="1"/>
    <xf borderId="0" fillId="9" fontId="3" numFmtId="10" xfId="0" applyAlignment="1" applyFont="1" applyNumberFormat="1">
      <alignment shrinkToFit="0" vertical="bottom" wrapText="1"/>
    </xf>
    <xf borderId="0" fillId="9" fontId="3" numFmtId="0" xfId="0" applyAlignment="1" applyFont="1">
      <alignment readingOrder="0" shrinkToFit="0" vertical="bottom" wrapText="1"/>
    </xf>
    <xf borderId="0" fillId="9" fontId="4" numFmtId="0" xfId="0" applyAlignment="1" applyFont="1">
      <alignment readingOrder="0" shrinkToFit="0" vertical="bottom" wrapText="0"/>
    </xf>
    <xf borderId="0" fillId="9" fontId="3" numFmtId="164" xfId="0" applyAlignment="1" applyFont="1" applyNumberFormat="1">
      <alignment shrinkToFit="0" vertical="bottom" wrapText="1"/>
    </xf>
    <xf borderId="0" fillId="9" fontId="3" numFmtId="0" xfId="0" applyAlignment="1" applyFont="1">
      <alignment shrinkToFit="0" vertical="bottom" wrapText="1"/>
    </xf>
    <xf borderId="0" fillId="9" fontId="3" numFmtId="164" xfId="0" applyAlignment="1" applyFont="1" applyNumberFormat="1">
      <alignment horizontal="right" shrinkToFit="0" vertical="bottom" wrapText="1"/>
    </xf>
    <xf borderId="0" fillId="9" fontId="3" numFmtId="0" xfId="0" applyAlignment="1" applyFont="1">
      <alignment shrinkToFit="0" vertical="bottom" wrapText="1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shrinkToFit="0" vertical="center" wrapText="0"/>
    </xf>
    <xf borderId="0" fillId="9" fontId="2" numFmtId="165" xfId="0" applyAlignment="1" applyFont="1" applyNumberFormat="1">
      <alignment shrinkToFit="0" vertical="center" wrapText="0"/>
    </xf>
    <xf borderId="0" fillId="9" fontId="2" numFmtId="0" xfId="0" applyAlignment="1" applyFont="1">
      <alignment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9" fontId="4" numFmtId="0" xfId="0" applyAlignment="1" applyFont="1">
      <alignment shrinkToFit="0" vertical="bottom" wrapText="0"/>
    </xf>
    <xf borderId="0" fillId="9" fontId="4" numFmtId="0" xfId="0" applyAlignment="1" applyFont="1">
      <alignment shrinkToFit="0" vertical="bottom" wrapText="0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horizontal="center" readingOrder="0" shrinkToFit="0" vertical="bottom" wrapText="0"/>
    </xf>
    <xf borderId="0" fillId="3" fontId="2" numFmtId="165" xfId="0" applyAlignment="1" applyFont="1" applyNumberFormat="1">
      <alignment shrinkToFit="0" vertical="center" wrapText="0"/>
    </xf>
    <xf borderId="0" fillId="8" fontId="9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10" fontId="3" numFmtId="10" xfId="0" applyAlignment="1" applyFill="1" applyFont="1" applyNumberFormat="1">
      <alignment shrinkToFit="0" vertical="bottom" wrapText="1"/>
    </xf>
    <xf borderId="0" fillId="10" fontId="3" numFmtId="0" xfId="0" applyAlignment="1" applyFont="1">
      <alignment readingOrder="0" shrinkToFit="0" vertical="bottom" wrapText="1"/>
    </xf>
    <xf borderId="0" fillId="10" fontId="4" numFmtId="0" xfId="0" applyAlignment="1" applyFont="1">
      <alignment readingOrder="0" shrinkToFit="0" vertical="bottom" wrapText="0"/>
    </xf>
    <xf borderId="0" fillId="10" fontId="3" numFmtId="164" xfId="0" applyAlignment="1" applyFont="1" applyNumberFormat="1">
      <alignment shrinkToFit="0" vertical="bottom" wrapText="1"/>
    </xf>
    <xf borderId="0" fillId="10" fontId="3" numFmtId="0" xfId="0" applyAlignment="1" applyFont="1">
      <alignment shrinkToFit="0" vertical="bottom" wrapText="1"/>
    </xf>
    <xf borderId="0" fillId="10" fontId="3" numFmtId="164" xfId="0" applyAlignment="1" applyFont="1" applyNumberFormat="1">
      <alignment horizontal="right" shrinkToFit="0" vertical="bottom" wrapText="1"/>
    </xf>
    <xf borderId="0" fillId="10" fontId="3" numFmtId="0" xfId="0" applyAlignment="1" applyFont="1">
      <alignment shrinkToFit="0" vertical="bottom" wrapText="1"/>
    </xf>
    <xf borderId="0" fillId="10" fontId="2" numFmtId="0" xfId="0" applyAlignment="1" applyFont="1">
      <alignment readingOrder="0" shrinkToFit="0" vertical="center" wrapText="0"/>
    </xf>
    <xf borderId="0" fillId="10" fontId="2" numFmtId="0" xfId="0" applyAlignment="1" applyFont="1">
      <alignment shrinkToFit="0" vertical="center" wrapText="0"/>
    </xf>
    <xf borderId="0" fillId="10" fontId="2" numFmtId="165" xfId="0" applyAlignment="1" applyFont="1" applyNumberFormat="1">
      <alignment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10" fontId="4" numFmtId="0" xfId="0" applyAlignment="1" applyFont="1">
      <alignment shrinkToFit="0" vertical="bottom" wrapText="0"/>
    </xf>
    <xf borderId="0" fillId="10" fontId="4" numFmtId="0" xfId="0" applyAlignment="1" applyFont="1">
      <alignment shrinkToFit="0" vertical="bottom" wrapText="0"/>
    </xf>
    <xf borderId="0" fillId="10" fontId="4" numFmtId="0" xfId="0" applyAlignment="1" applyFont="1">
      <alignment readingOrder="0" shrinkToFit="0" vertical="bottom" wrapText="0"/>
    </xf>
    <xf borderId="0" fillId="10" fontId="4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2" fontId="3" numFmtId="164" xfId="0" applyAlignment="1" applyFont="1" applyNumberForma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1" fontId="3" numFmtId="10" xfId="0" applyAlignment="1" applyFill="1" applyFont="1" applyNumberFormat="1">
      <alignment shrinkToFit="0" vertical="bottom" wrapText="1"/>
    </xf>
    <xf borderId="0" fillId="11" fontId="3" numFmtId="0" xfId="0" applyAlignment="1" applyFont="1">
      <alignment shrinkToFit="0" vertical="bottom" wrapText="1"/>
    </xf>
    <xf borderId="0" fillId="11" fontId="4" numFmtId="0" xfId="0" applyAlignment="1" applyFont="1">
      <alignment readingOrder="0" shrinkToFit="0" vertical="bottom" wrapText="0"/>
    </xf>
    <xf borderId="0" fillId="11" fontId="3" numFmtId="164" xfId="0" applyAlignment="1" applyFont="1" applyNumberFormat="1">
      <alignment shrinkToFit="0" vertical="bottom" wrapText="1"/>
    </xf>
    <xf borderId="0" fillId="11" fontId="3" numFmtId="0" xfId="0" applyAlignment="1" applyFont="1">
      <alignment shrinkToFit="0" vertical="bottom" wrapText="1"/>
    </xf>
    <xf borderId="0" fillId="11" fontId="3" numFmtId="164" xfId="0" applyAlignment="1" applyFont="1" applyNumberFormat="1">
      <alignment horizontal="right" shrinkToFit="0" vertical="bottom" wrapText="1"/>
    </xf>
    <xf borderId="0" fillId="11" fontId="3" numFmtId="0" xfId="0" applyAlignment="1" applyFont="1">
      <alignment shrinkToFit="0" vertical="bottom" wrapText="1"/>
    </xf>
    <xf borderId="0" fillId="11" fontId="2" numFmtId="0" xfId="0" applyAlignment="1" applyFont="1">
      <alignment readingOrder="0" shrinkToFit="0" vertical="center" wrapText="0"/>
    </xf>
    <xf borderId="0" fillId="11" fontId="2" numFmtId="0" xfId="0" applyAlignment="1" applyFont="1">
      <alignment shrinkToFit="0" vertical="center" wrapText="0"/>
    </xf>
    <xf borderId="0" fillId="11" fontId="2" numFmtId="0" xfId="0" applyAlignment="1" applyFont="1">
      <alignment shrinkToFit="0" vertical="center" wrapText="0"/>
    </xf>
    <xf borderId="0" fillId="11" fontId="2" numFmtId="165" xfId="0" applyAlignment="1" applyFont="1" applyNumberFormat="1">
      <alignment shrinkToFit="0" vertical="center" wrapText="0"/>
    </xf>
    <xf borderId="0" fillId="11" fontId="2" numFmtId="0" xfId="0" applyAlignment="1" applyFont="1">
      <alignment readingOrder="0" shrinkToFit="0" vertical="center" wrapText="0"/>
    </xf>
    <xf borderId="0" fillId="11" fontId="4" numFmtId="0" xfId="0" applyAlignment="1" applyFont="1">
      <alignment readingOrder="0" shrinkToFit="0" vertical="bottom" wrapText="0"/>
    </xf>
    <xf borderId="0" fillId="11" fontId="4" numFmtId="0" xfId="0" applyAlignment="1" applyFont="1">
      <alignment shrinkToFit="0" vertical="bottom" wrapText="0"/>
    </xf>
    <xf borderId="0" fillId="11" fontId="4" numFmtId="0" xfId="0" applyAlignment="1" applyFont="1">
      <alignment horizontal="center" readingOrder="0" shrinkToFit="0" vertical="bottom" wrapText="0"/>
    </xf>
    <xf borderId="0" fillId="12" fontId="4" numFmtId="0" xfId="0" applyAlignment="1" applyFill="1" applyFont="1">
      <alignment shrinkToFit="0" vertical="bottom" wrapText="0"/>
    </xf>
    <xf borderId="0" fillId="7" fontId="4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center" wrapText="0"/>
    </xf>
    <xf borderId="0" fillId="11" fontId="2" numFmtId="0" xfId="0" applyFont="1"/>
    <xf borderId="0" fillId="2" fontId="3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10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1"/>
    </xf>
    <xf borderId="0" fillId="0" fontId="13" numFmtId="164" xfId="0" applyAlignment="1" applyFont="1" applyNumberFormat="1">
      <alignment shrinkToFit="0" vertical="bottom" wrapText="1"/>
    </xf>
    <xf borderId="0" fillId="0" fontId="13" numFmtId="0" xfId="0" applyAlignment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5" fontId="3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3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3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2" fillId="0" fontId="13" numFmtId="164" xfId="0" applyAlignment="1" applyBorder="1" applyFont="1" applyNumberFormat="1">
      <alignment shrinkToFit="0" vertical="bottom" wrapText="1"/>
    </xf>
    <xf borderId="2" fillId="0" fontId="13" numFmtId="166" xfId="0" applyAlignment="1" applyBorder="1" applyFont="1" applyNumberFormat="1">
      <alignment horizontal="right" shrinkToFit="0" vertical="bottom" wrapText="1"/>
    </xf>
    <xf borderId="3" fillId="0" fontId="18" numFmtId="0" xfId="0" applyAlignment="1" applyBorder="1" applyFont="1">
      <alignment vertical="bottom"/>
    </xf>
    <xf borderId="2" fillId="0" fontId="19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6" fillId="0" fontId="19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3" fillId="0" fontId="20" numFmtId="0" xfId="0" applyAlignment="1" applyBorder="1" applyFont="1">
      <alignment vertical="bottom"/>
    </xf>
    <xf borderId="0" fillId="5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3" fillId="0" fontId="21" numFmtId="0" xfId="0" applyAlignment="1" applyBorder="1" applyFont="1">
      <alignment vertical="bottom"/>
    </xf>
    <xf borderId="3" fillId="0" fontId="19" numFmtId="0" xfId="0" applyAlignment="1" applyBorder="1" applyFont="1">
      <alignment vertical="bottom"/>
    </xf>
    <xf borderId="7" fillId="5" fontId="19" numFmtId="0" xfId="0" applyAlignment="1" applyBorder="1" applyFont="1">
      <alignment vertical="bottom"/>
    </xf>
    <xf borderId="0" fillId="13" fontId="19" numFmtId="0" xfId="0" applyAlignment="1" applyFill="1" applyFont="1">
      <alignment vertical="bottom"/>
    </xf>
    <xf borderId="3" fillId="14" fontId="21" numFmtId="0" xfId="0" applyAlignment="1" applyBorder="1" applyFill="1" applyFont="1">
      <alignment vertical="bottom"/>
    </xf>
    <xf borderId="3" fillId="14" fontId="19" numFmtId="0" xfId="0" applyAlignment="1" applyBorder="1" applyFont="1">
      <alignment vertical="bottom"/>
    </xf>
    <xf borderId="8" fillId="15" fontId="19" numFmtId="0" xfId="0" applyAlignment="1" applyBorder="1" applyFill="1" applyFont="1">
      <alignment vertical="bottom"/>
    </xf>
    <xf borderId="0" fillId="15" fontId="19" numFmtId="0" xfId="0" applyAlignment="1" applyFont="1">
      <alignment vertical="bottom"/>
    </xf>
    <xf borderId="0" fillId="3" fontId="19" numFmtId="0" xfId="0" applyAlignment="1" applyFont="1">
      <alignment vertical="bottom"/>
    </xf>
    <xf borderId="3" fillId="15" fontId="19" numFmtId="0" xfId="0" applyAlignment="1" applyBorder="1" applyFont="1">
      <alignment vertical="bottom"/>
    </xf>
    <xf borderId="3" fillId="16" fontId="19" numFmtId="0" xfId="0" applyAlignment="1" applyBorder="1" applyFill="1" applyFont="1">
      <alignment vertical="bottom"/>
    </xf>
    <xf borderId="9" fillId="13" fontId="19" numFmtId="0" xfId="0" applyAlignment="1" applyBorder="1" applyFont="1">
      <alignment vertical="bottom"/>
    </xf>
    <xf borderId="4" fillId="15" fontId="19" numFmtId="0" xfId="0" applyAlignment="1" applyBorder="1" applyFont="1">
      <alignment vertical="bottom"/>
    </xf>
    <xf borderId="4" fillId="13" fontId="19" numFmtId="0" xfId="0" applyAlignment="1" applyBorder="1" applyFont="1">
      <alignment vertical="bottom"/>
    </xf>
    <xf borderId="4" fillId="5" fontId="19" numFmtId="0" xfId="0" applyAlignment="1" applyBorder="1" applyFont="1">
      <alignment vertical="bottom"/>
    </xf>
    <xf borderId="5" fillId="8" fontId="5" numFmtId="0" xfId="0" applyAlignment="1" applyBorder="1" applyFont="1">
      <alignment vertical="bottom"/>
    </xf>
    <xf borderId="9" fillId="15" fontId="19" numFmtId="0" xfId="0" applyAlignment="1" applyBorder="1" applyFont="1">
      <alignment vertical="bottom"/>
    </xf>
    <xf borderId="3" fillId="8" fontId="5" numFmtId="0" xfId="0" applyAlignment="1" applyBorder="1" applyFont="1">
      <alignment vertical="bottom"/>
    </xf>
    <xf borderId="3" fillId="3" fontId="19" numFmtId="0" xfId="0" applyAlignment="1" applyBorder="1" applyFont="1">
      <alignment vertical="bottom"/>
    </xf>
    <xf borderId="8" fillId="13" fontId="19" numFmtId="0" xfId="0" applyAlignment="1" applyBorder="1" applyFont="1">
      <alignment vertical="bottom"/>
    </xf>
    <xf borderId="7" fillId="15" fontId="19" numFmtId="0" xfId="0" applyAlignment="1" applyBorder="1" applyFont="1">
      <alignment vertical="bottom"/>
    </xf>
    <xf borderId="8" fillId="5" fontId="19" numFmtId="0" xfId="0" applyAlignment="1" applyBorder="1" applyFont="1">
      <alignment vertical="bottom"/>
    </xf>
    <xf borderId="10" fillId="8" fontId="5" numFmtId="0" xfId="0" applyAlignment="1" applyBorder="1" applyFont="1">
      <alignment vertical="bottom"/>
    </xf>
    <xf borderId="0" fillId="14" fontId="21" numFmtId="0" xfId="0" applyAlignment="1" applyFont="1">
      <alignment vertical="bottom"/>
    </xf>
    <xf borderId="3" fillId="0" fontId="19" numFmtId="0" xfId="0" applyAlignment="1" applyBorder="1" applyFont="1">
      <alignment horizontal="right" vertical="bottom"/>
    </xf>
    <xf borderId="3" fillId="0" fontId="20" numFmtId="0" xfId="0" applyAlignment="1" applyBorder="1" applyFont="1">
      <alignment horizontal="center" vertical="bottom"/>
    </xf>
    <xf borderId="3" fillId="0" fontId="22" numFmtId="0" xfId="0" applyAlignment="1" applyBorder="1" applyFont="1">
      <alignment vertical="bottom"/>
    </xf>
    <xf borderId="3" fillId="0" fontId="23" numFmtId="0" xfId="0" applyAlignment="1" applyBorder="1" applyFont="1">
      <alignment vertical="bottom"/>
    </xf>
    <xf borderId="3" fillId="0" fontId="22" numFmtId="0" xfId="0" applyAlignment="1" applyBorder="1" applyFont="1">
      <alignment horizontal="center" vertical="bottom"/>
    </xf>
    <xf borderId="3" fillId="0" fontId="24" numFmtId="0" xfId="0" applyAlignment="1" applyBorder="1" applyFont="1">
      <alignment vertical="bottom"/>
    </xf>
    <xf borderId="3" fillId="0" fontId="25" numFmtId="0" xfId="0" applyAlignment="1" applyBorder="1" applyFont="1">
      <alignment horizontal="center" vertical="bottom"/>
    </xf>
    <xf borderId="3" fillId="0" fontId="26" numFmtId="0" xfId="0" applyAlignment="1" applyBorder="1" applyFont="1">
      <alignment vertical="bottom"/>
    </xf>
    <xf borderId="3" fillId="17" fontId="21" numFmtId="0" xfId="0" applyAlignment="1" applyBorder="1" applyFill="1" applyFont="1">
      <alignment vertical="bottom"/>
    </xf>
    <xf borderId="3" fillId="0" fontId="27" numFmtId="0" xfId="0" applyAlignment="1" applyBorder="1" applyFont="1">
      <alignment vertical="bottom"/>
    </xf>
    <xf borderId="3" fillId="0" fontId="21" numFmtId="0" xfId="0" applyAlignment="1" applyBorder="1" applyFont="1">
      <alignment horizontal="center" vertical="bottom"/>
    </xf>
    <xf borderId="3" fillId="15" fontId="21" numFmtId="0" xfId="0" applyAlignment="1" applyBorder="1" applyFont="1">
      <alignment vertical="bottom"/>
    </xf>
    <xf borderId="3" fillId="0" fontId="28" numFmtId="0" xfId="0" applyAlignment="1" applyBorder="1" applyFont="1">
      <alignment readingOrder="0" vertical="bottom"/>
    </xf>
    <xf borderId="3" fillId="16" fontId="21" numFmtId="0" xfId="0" applyAlignment="1" applyBorder="1" applyFont="1">
      <alignment vertical="bottom"/>
    </xf>
    <xf borderId="0" fillId="8" fontId="29" numFmtId="0" xfId="0" applyAlignment="1" applyFont="1">
      <alignment vertical="bottom"/>
    </xf>
    <xf borderId="3" fillId="0" fontId="30" numFmtId="0" xfId="0" applyAlignment="1" applyBorder="1" applyFont="1">
      <alignment vertical="bottom"/>
    </xf>
    <xf borderId="3" fillId="0" fontId="31" numFmtId="0" xfId="0" applyAlignment="1" applyBorder="1" applyFont="1">
      <alignment vertical="bottom"/>
    </xf>
    <xf borderId="3" fillId="3" fontId="21" numFmtId="0" xfId="0" applyAlignment="1" applyBorder="1" applyFont="1">
      <alignment vertical="bottom"/>
    </xf>
    <xf borderId="3" fillId="0" fontId="21" numFmtId="0" xfId="0" applyAlignment="1" applyBorder="1" applyFont="1">
      <alignment horizontal="right" vertical="bottom"/>
    </xf>
    <xf borderId="3" fillId="0" fontId="32" numFmtId="0" xfId="0" applyAlignment="1" applyBorder="1" applyFont="1">
      <alignment vertical="bottom"/>
    </xf>
    <xf borderId="3" fillId="5" fontId="33" numFmtId="0" xfId="0" applyAlignment="1" applyBorder="1" applyFont="1">
      <alignment vertical="bottom"/>
    </xf>
    <xf borderId="3" fillId="0" fontId="34" numFmtId="0" xfId="0" applyAlignment="1" applyBorder="1" applyFont="1">
      <alignment vertical="bottom"/>
    </xf>
    <xf borderId="3" fillId="0" fontId="35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8" fillId="0" fontId="21" numFmtId="0" xfId="0" applyAlignment="1" applyBorder="1" applyFont="1">
      <alignment vertical="bottom"/>
    </xf>
    <xf borderId="0" fillId="0" fontId="36" numFmtId="0" xfId="0" applyAlignment="1" applyFont="1">
      <alignment shrinkToFit="0" vertical="bottom" wrapText="1"/>
    </xf>
    <xf borderId="0" fillId="8" fontId="37" numFmtId="0" xfId="0" applyAlignment="1" applyFont="1">
      <alignment vertical="bottom"/>
    </xf>
    <xf borderId="11" fillId="0" fontId="21" numFmtId="0" xfId="0" applyAlignment="1" applyBorder="1" applyFont="1">
      <alignment vertical="bottom"/>
    </xf>
    <xf borderId="1" fillId="0" fontId="21" numFmtId="0" xfId="0" applyAlignment="1" applyBorder="1" applyFont="1">
      <alignment vertical="bottom"/>
    </xf>
    <xf borderId="3" fillId="0" fontId="38" numFmtId="0" xfId="0" applyAlignment="1" applyBorder="1" applyFont="1">
      <alignment vertical="bottom"/>
    </xf>
    <xf borderId="0" fillId="8" fontId="39" numFmtId="0" xfId="0" applyAlignment="1" applyFont="1">
      <alignment vertical="bottom"/>
    </xf>
    <xf borderId="8" fillId="8" fontId="39" numFmtId="0" xfId="0" applyAlignment="1" applyBorder="1" applyFont="1">
      <alignment vertical="bottom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150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89" displayName="Table1" name="Table1" id="1">
  <tableColumns count="24">
    <tableColumn name="Name" id="1"/>
    <tableColumn name="PAYMENT STATUS (Coordination with Julie)" id="2"/>
    <tableColumn name="Emailed 1c or 1d" id="3"/>
    <tableColumn name="Purchase Date" id="4"/>
    <tableColumn name="Transaction type" id="5"/>
    <tableColumn name="#" id="6"/>
    <tableColumn name="Due date" id="7"/>
    <tableColumn name="Amount" id="8"/>
    <tableColumn name="Open balance" id="9"/>
    <tableColumn name="Batch #" id="10"/>
    <tableColumn name="Units Purchased" id="11"/>
    <tableColumn name="Serial Number" id="12"/>
    <tableColumn name="Delivery Status New" id="13"/>
    <tableColumn name="Delivery Status" id="14"/>
    <tableColumn name="Delivery Date" id="15"/>
    <tableColumn name="Color" id="16"/>
    <tableColumn name="Address" id="17"/>
    <tableColumn name="Phone Number" id="18"/>
    <tableColumn name="Email" id="19"/>
    <tableColumn name="Engraving Preference" id="20"/>
    <tableColumn name="Engraving Text" id="21"/>
    <tableColumn name="Notes" id="22"/>
    <tableColumn name="Delivery Priority" id="23"/>
    <tableColumn name="Emailed &quot;2&quot; email" id="24"/>
  </tableColumns>
  <tableStyleInfo name="P150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uayi@virgohome.io" TargetMode="External"/><Relationship Id="rId2" Type="http://schemas.openxmlformats.org/officeDocument/2006/relationships/hyperlink" Target="mailto:huayi@virgohome.io" TargetMode="External"/><Relationship Id="rId3" Type="http://schemas.openxmlformats.org/officeDocument/2006/relationships/hyperlink" Target="mailto:huayi@virgohome.io" TargetMode="External"/><Relationship Id="rId4" Type="http://schemas.openxmlformats.org/officeDocument/2006/relationships/hyperlink" Target="mailto:huayi@virgohome.io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mailto:kevin@virgohome.io" TargetMode="External"/><Relationship Id="rId5" Type="http://schemas.openxmlformats.org/officeDocument/2006/relationships/hyperlink" Target="mailto:kevin@virgohome.io" TargetMode="External"/><Relationship Id="rId6" Type="http://schemas.openxmlformats.org/officeDocument/2006/relationships/hyperlink" Target="mailto:kevin@virgohome.io" TargetMode="External"/><Relationship Id="rId7" Type="http://schemas.openxmlformats.org/officeDocument/2006/relationships/hyperlink" Target="mailto:huayi@virgohome.io" TargetMode="External"/><Relationship Id="rId8" Type="http://schemas.openxmlformats.org/officeDocument/2006/relationships/hyperlink" Target="mailto:huayi@virgohome.i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frauls5@hotmail.com" TargetMode="External"/><Relationship Id="rId84" Type="http://schemas.openxmlformats.org/officeDocument/2006/relationships/hyperlink" Target="mailto:ellery.bunn@gmail.com" TargetMode="External"/><Relationship Id="rId83" Type="http://schemas.openxmlformats.org/officeDocument/2006/relationships/hyperlink" Target="mailto:fryerthedude@hotmail.com" TargetMode="External"/><Relationship Id="rId42" Type="http://schemas.openxmlformats.org/officeDocument/2006/relationships/hyperlink" Target="mailto:emmage070@gmail.com" TargetMode="External"/><Relationship Id="rId86" Type="http://schemas.openxmlformats.org/officeDocument/2006/relationships/hyperlink" Target="mailto:cylee.toronto@gmail.com" TargetMode="External"/><Relationship Id="rId41" Type="http://schemas.openxmlformats.org/officeDocument/2006/relationships/hyperlink" Target="mailto:chris@aubretia.ca" TargetMode="External"/><Relationship Id="rId85" Type="http://schemas.openxmlformats.org/officeDocument/2006/relationships/hyperlink" Target="mailto:zheng@smartharvest.ca" TargetMode="External"/><Relationship Id="rId44" Type="http://schemas.openxmlformats.org/officeDocument/2006/relationships/hyperlink" Target="mailto:Annie512@live.ca" TargetMode="External"/><Relationship Id="rId88" Type="http://schemas.openxmlformats.org/officeDocument/2006/relationships/drawing" Target="../drawings/drawing5.xml"/><Relationship Id="rId43" Type="http://schemas.openxmlformats.org/officeDocument/2006/relationships/hyperlink" Target="mailto:jgliao@gmail.com" TargetMode="External"/><Relationship Id="rId87" Type="http://schemas.openxmlformats.org/officeDocument/2006/relationships/hyperlink" Target="mailto:chadlockhart@icloud.com" TargetMode="External"/><Relationship Id="rId46" Type="http://schemas.openxmlformats.org/officeDocument/2006/relationships/hyperlink" Target="mailto:williamzhang518@hotmail.com" TargetMode="External"/><Relationship Id="rId45" Type="http://schemas.openxmlformats.org/officeDocument/2006/relationships/hyperlink" Target="mailto:melody.z.tao@gmail.com" TargetMode="External"/><Relationship Id="rId80" Type="http://schemas.openxmlformats.org/officeDocument/2006/relationships/hyperlink" Target="mailto:michaelcorp@rogers.com" TargetMode="External"/><Relationship Id="rId82" Type="http://schemas.openxmlformats.org/officeDocument/2006/relationships/hyperlink" Target="mailto:adam.mittleman@gmail.com" TargetMode="External"/><Relationship Id="rId81" Type="http://schemas.openxmlformats.org/officeDocument/2006/relationships/hyperlink" Target="http://sunrongbing@hotmail.com/" TargetMode="External"/><Relationship Id="rId1" Type="http://schemas.openxmlformats.org/officeDocument/2006/relationships/hyperlink" Target="mailto:respon.office@gmail.com" TargetMode="External"/><Relationship Id="rId2" Type="http://schemas.openxmlformats.org/officeDocument/2006/relationships/hyperlink" Target="mailto:respon.office@gmail.com" TargetMode="External"/><Relationship Id="rId3" Type="http://schemas.openxmlformats.org/officeDocument/2006/relationships/hyperlink" Target="mailto:limingjie1971@gmail.com" TargetMode="External"/><Relationship Id="rId4" Type="http://schemas.openxmlformats.org/officeDocument/2006/relationships/hyperlink" Target="mailto:gaowinston@yahoo.ca" TargetMode="External"/><Relationship Id="rId9" Type="http://schemas.openxmlformats.org/officeDocument/2006/relationships/hyperlink" Target="mailto:spellegrini@king.ca" TargetMode="External"/><Relationship Id="rId48" Type="http://schemas.openxmlformats.org/officeDocument/2006/relationships/hyperlink" Target="mailto:tony@longtech.ca" TargetMode="External"/><Relationship Id="rId47" Type="http://schemas.openxmlformats.org/officeDocument/2006/relationships/hyperlink" Target="mailto:jessie_hu2000@hotmail.com" TargetMode="External"/><Relationship Id="rId49" Type="http://schemas.openxmlformats.org/officeDocument/2006/relationships/hyperlink" Target="mailto:jeff.torcn.com@gmail.com" TargetMode="External"/><Relationship Id="rId5" Type="http://schemas.openxmlformats.org/officeDocument/2006/relationships/hyperlink" Target="mailto:jim@aglinks.com" TargetMode="External"/><Relationship Id="rId6" Type="http://schemas.openxmlformats.org/officeDocument/2006/relationships/hyperlink" Target="mailto:chris.collucci@markhamboard.com" TargetMode="External"/><Relationship Id="rId7" Type="http://schemas.openxmlformats.org/officeDocument/2006/relationships/hyperlink" Target="mailto:andrey@sibwest.ca" TargetMode="External"/><Relationship Id="rId8" Type="http://schemas.openxmlformats.org/officeDocument/2006/relationships/hyperlink" Target="mailto:skotari@vassutech.com" TargetMode="External"/><Relationship Id="rId73" Type="http://schemas.openxmlformats.org/officeDocument/2006/relationships/hyperlink" Target="mailto:srmperera@gmail.com" TargetMode="External"/><Relationship Id="rId72" Type="http://schemas.openxmlformats.org/officeDocument/2006/relationships/hyperlink" Target="mailto:alpcelebi@live.com" TargetMode="External"/><Relationship Id="rId31" Type="http://schemas.openxmlformats.org/officeDocument/2006/relationships/hyperlink" Target="mailto:ksobryan@gmail.com" TargetMode="External"/><Relationship Id="rId75" Type="http://schemas.openxmlformats.org/officeDocument/2006/relationships/hyperlink" Target="mailto:sc@labu.slmail.me" TargetMode="External"/><Relationship Id="rId30" Type="http://schemas.openxmlformats.org/officeDocument/2006/relationships/hyperlink" Target="mailto:shayoung12@hotmail.com" TargetMode="External"/><Relationship Id="rId74" Type="http://schemas.openxmlformats.org/officeDocument/2006/relationships/hyperlink" Target="mailto:ruiping_guo@hotmail.com" TargetMode="External"/><Relationship Id="rId33" Type="http://schemas.openxmlformats.org/officeDocument/2006/relationships/hyperlink" Target="mailto:tien1957@hotmail.com" TargetMode="External"/><Relationship Id="rId77" Type="http://schemas.openxmlformats.org/officeDocument/2006/relationships/hyperlink" Target="mailto:oskampm@mac.com" TargetMode="External"/><Relationship Id="rId32" Type="http://schemas.openxmlformats.org/officeDocument/2006/relationships/hyperlink" Target="mailto:emailalicia@me.com" TargetMode="External"/><Relationship Id="rId76" Type="http://schemas.openxmlformats.org/officeDocument/2006/relationships/hyperlink" Target="mailto:peter.philips21@gmail.com" TargetMode="External"/><Relationship Id="rId35" Type="http://schemas.openxmlformats.org/officeDocument/2006/relationships/hyperlink" Target="mailto:jasmine@ibd.to" TargetMode="External"/><Relationship Id="rId79" Type="http://schemas.openxmlformats.org/officeDocument/2006/relationships/hyperlink" Target="mailto:kgtools@hotmail.com" TargetMode="External"/><Relationship Id="rId34" Type="http://schemas.openxmlformats.org/officeDocument/2006/relationships/hyperlink" Target="mailto:kayla.peppler2013@gmail.com" TargetMode="External"/><Relationship Id="rId78" Type="http://schemas.openxmlformats.org/officeDocument/2006/relationships/hyperlink" Target="mailto:lynn@claz.ca" TargetMode="External"/><Relationship Id="rId71" Type="http://schemas.openxmlformats.org/officeDocument/2006/relationships/hyperlink" Target="mailto:yunfeil@live.com" TargetMode="External"/><Relationship Id="rId70" Type="http://schemas.openxmlformats.org/officeDocument/2006/relationships/hyperlink" Target="mailto:jillwash06@gmail.com" TargetMode="External"/><Relationship Id="rId37" Type="http://schemas.openxmlformats.org/officeDocument/2006/relationships/hyperlink" Target="mailto:sam.decillis2@gmail.com" TargetMode="External"/><Relationship Id="rId36" Type="http://schemas.openxmlformats.org/officeDocument/2006/relationships/hyperlink" Target="mailto:doug.bailey@rogers.com" TargetMode="External"/><Relationship Id="rId39" Type="http://schemas.openxmlformats.org/officeDocument/2006/relationships/hyperlink" Target="mailto:d.forster@sympatico.ca" TargetMode="External"/><Relationship Id="rId38" Type="http://schemas.openxmlformats.org/officeDocument/2006/relationships/hyperlink" Target="mailto:kdubeau.kd@gmail.com" TargetMode="External"/><Relationship Id="rId62" Type="http://schemas.openxmlformats.org/officeDocument/2006/relationships/hyperlink" Target="mailto:peterprytula@gmail.com" TargetMode="External"/><Relationship Id="rId61" Type="http://schemas.openxmlformats.org/officeDocument/2006/relationships/hyperlink" Target="mailto:elayne_001@rogers.com" TargetMode="External"/><Relationship Id="rId20" Type="http://schemas.openxmlformats.org/officeDocument/2006/relationships/hyperlink" Target="mailto:strife01@gmail.com" TargetMode="External"/><Relationship Id="rId64" Type="http://schemas.openxmlformats.org/officeDocument/2006/relationships/hyperlink" Target="mailto:smilesarefree6@gmail.com" TargetMode="External"/><Relationship Id="rId63" Type="http://schemas.openxmlformats.org/officeDocument/2006/relationships/hyperlink" Target="mailto:madmike2021@hotmail.com" TargetMode="External"/><Relationship Id="rId22" Type="http://schemas.openxmlformats.org/officeDocument/2006/relationships/hyperlink" Target="mailto:tchau1982@gmail.com" TargetMode="External"/><Relationship Id="rId66" Type="http://schemas.openxmlformats.org/officeDocument/2006/relationships/hyperlink" Target="mailto:cb.grant@hotmail.com" TargetMode="External"/><Relationship Id="rId21" Type="http://schemas.openxmlformats.org/officeDocument/2006/relationships/hyperlink" Target="mailto:dathaot@netzero.net" TargetMode="External"/><Relationship Id="rId65" Type="http://schemas.openxmlformats.org/officeDocument/2006/relationships/hyperlink" Target="mailto:franntastic@hotmail.com" TargetMode="External"/><Relationship Id="rId24" Type="http://schemas.openxmlformats.org/officeDocument/2006/relationships/hyperlink" Target="mailto:jpho@live.ca" TargetMode="External"/><Relationship Id="rId68" Type="http://schemas.openxmlformats.org/officeDocument/2006/relationships/hyperlink" Target="mailto:a1ob@yahoo.com" TargetMode="External"/><Relationship Id="rId23" Type="http://schemas.openxmlformats.org/officeDocument/2006/relationships/hyperlink" Target="mailto:mike.ferragina@gmail.com" TargetMode="External"/><Relationship Id="rId67" Type="http://schemas.openxmlformats.org/officeDocument/2006/relationships/hyperlink" Target="mailto:editandmike2015@gmail.com" TargetMode="External"/><Relationship Id="rId60" Type="http://schemas.openxmlformats.org/officeDocument/2006/relationships/hyperlink" Target="mailto:kelly@kellybeans.com" TargetMode="External"/><Relationship Id="rId26" Type="http://schemas.openxmlformats.org/officeDocument/2006/relationships/hyperlink" Target="mailto:markbeatty70@gmail.com" TargetMode="External"/><Relationship Id="rId25" Type="http://schemas.openxmlformats.org/officeDocument/2006/relationships/hyperlink" Target="mailto:ofs.phillips@gmail.com" TargetMode="External"/><Relationship Id="rId69" Type="http://schemas.openxmlformats.org/officeDocument/2006/relationships/hyperlink" Target="mailto:rinellat@hotmail.com" TargetMode="External"/><Relationship Id="rId28" Type="http://schemas.openxmlformats.org/officeDocument/2006/relationships/hyperlink" Target="mailto:sdestephanis@gmail.com" TargetMode="External"/><Relationship Id="rId27" Type="http://schemas.openxmlformats.org/officeDocument/2006/relationships/hyperlink" Target="mailto:mhaywood@rogers.com" TargetMode="External"/><Relationship Id="rId29" Type="http://schemas.openxmlformats.org/officeDocument/2006/relationships/hyperlink" Target="mailto:vickic487@gmail.com" TargetMode="External"/><Relationship Id="rId51" Type="http://schemas.openxmlformats.org/officeDocument/2006/relationships/hyperlink" Target="mailto:suemmcrae@gmail.com" TargetMode="External"/><Relationship Id="rId50" Type="http://schemas.openxmlformats.org/officeDocument/2006/relationships/hyperlink" Target="mailto:chuyuzhou7293873@gmail.com" TargetMode="External"/><Relationship Id="rId53" Type="http://schemas.openxmlformats.org/officeDocument/2006/relationships/hyperlink" Target="mailto:caesarsempire@me.com" TargetMode="External"/><Relationship Id="rId52" Type="http://schemas.openxmlformats.org/officeDocument/2006/relationships/hyperlink" Target="mailto:kirk@beatty-machine.com" TargetMode="External"/><Relationship Id="rId11" Type="http://schemas.openxmlformats.org/officeDocument/2006/relationships/hyperlink" Target="mailto:steven.yang@ylhadvisorygroup.ca" TargetMode="External"/><Relationship Id="rId55" Type="http://schemas.openxmlformats.org/officeDocument/2006/relationships/hyperlink" Target="mailto:ziontkd.markham@gmail.com" TargetMode="External"/><Relationship Id="rId10" Type="http://schemas.openxmlformats.org/officeDocument/2006/relationships/hyperlink" Target="mailto:philfparkinson@hotmail.com" TargetMode="External"/><Relationship Id="rId54" Type="http://schemas.openxmlformats.org/officeDocument/2006/relationships/hyperlink" Target="mailto:nannaerza@rogers.com" TargetMode="External"/><Relationship Id="rId13" Type="http://schemas.openxmlformats.org/officeDocument/2006/relationships/hyperlink" Target="mailto:jamie_smyth67@hotmail.com" TargetMode="External"/><Relationship Id="rId57" Type="http://schemas.openxmlformats.org/officeDocument/2006/relationships/hyperlink" Target="mailto:kmclellan@king.ca" TargetMode="External"/><Relationship Id="rId12" Type="http://schemas.openxmlformats.org/officeDocument/2006/relationships/hyperlink" Target="mailto:bryanthinhho@gmail.com" TargetMode="External"/><Relationship Id="rId56" Type="http://schemas.openxmlformats.org/officeDocument/2006/relationships/hyperlink" Target="mailto:reikiwithkelley@gmail.com" TargetMode="External"/><Relationship Id="rId15" Type="http://schemas.openxmlformats.org/officeDocument/2006/relationships/hyperlink" Target="mailto:nicety-repair@hotmail.com" TargetMode="External"/><Relationship Id="rId59" Type="http://schemas.openxmlformats.org/officeDocument/2006/relationships/hyperlink" Target="mailto:mylenecanzumba@ymail.com" TargetMode="External"/><Relationship Id="rId14" Type="http://schemas.openxmlformats.org/officeDocument/2006/relationships/hyperlink" Target="mailto:johnzhou971212@gmail.com" TargetMode="External"/><Relationship Id="rId58" Type="http://schemas.openxmlformats.org/officeDocument/2006/relationships/hyperlink" Target="mailto:liv_1976@hotmail.com" TargetMode="External"/><Relationship Id="rId17" Type="http://schemas.openxmlformats.org/officeDocument/2006/relationships/hyperlink" Target="mailto:mcmaurice4@gmail.com" TargetMode="External"/><Relationship Id="rId16" Type="http://schemas.openxmlformats.org/officeDocument/2006/relationships/hyperlink" Target="mailto:hansli0128@gmail.com" TargetMode="External"/><Relationship Id="rId19" Type="http://schemas.openxmlformats.org/officeDocument/2006/relationships/hyperlink" Target="mailto:joe.lu@healhouse.ca" TargetMode="External"/><Relationship Id="rId18" Type="http://schemas.openxmlformats.org/officeDocument/2006/relationships/hyperlink" Target="mailto:jimchristie@hotmai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5"/>
    <col customWidth="1" min="2" max="2" width="22.0"/>
    <col customWidth="1" min="3" max="3" width="27.5"/>
    <col customWidth="1" min="6" max="6" width="16.13"/>
    <col customWidth="1" min="8" max="9" width="14.38"/>
    <col customWidth="1" min="10" max="10" width="17.5"/>
    <col customWidth="1" min="11" max="11" width="19.38"/>
    <col customWidth="1" min="12" max="12" width="22.75"/>
    <col customWidth="1" min="13" max="13" width="23.5"/>
    <col customWidth="1" min="16" max="16" width="12.75"/>
    <col customWidth="1" min="17" max="17" width="53.38"/>
    <col customWidth="1" min="18" max="18" width="18.63"/>
    <col customWidth="1" min="19" max="19" width="34.75"/>
    <col customWidth="1" min="20" max="21" width="42.75"/>
    <col customWidth="1" min="22" max="22" width="4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</row>
    <row r="2" ht="22.5" customHeight="1">
      <c r="A2" s="5" t="s">
        <v>24</v>
      </c>
      <c r="B2" s="6" t="s">
        <v>25</v>
      </c>
      <c r="C2" s="7" t="s">
        <v>26</v>
      </c>
      <c r="D2" s="8">
        <v>45050.0</v>
      </c>
      <c r="E2" s="9" t="s">
        <v>27</v>
      </c>
      <c r="F2" s="9" t="s">
        <v>28</v>
      </c>
      <c r="G2" s="10">
        <v>45777.0</v>
      </c>
      <c r="H2" s="11">
        <v>375.73</v>
      </c>
      <c r="I2" s="11">
        <v>0.0</v>
      </c>
      <c r="J2" s="12" t="s">
        <v>29</v>
      </c>
      <c r="K2" s="13">
        <v>1.0</v>
      </c>
      <c r="L2" s="13" t="s">
        <v>30</v>
      </c>
      <c r="M2" s="14" t="s">
        <v>31</v>
      </c>
      <c r="N2" s="14" t="s">
        <v>32</v>
      </c>
      <c r="O2" s="15">
        <v>45779.0</v>
      </c>
      <c r="P2" s="14" t="s">
        <v>33</v>
      </c>
      <c r="Q2" s="16" t="s">
        <v>34</v>
      </c>
      <c r="R2" s="16" t="s">
        <v>35</v>
      </c>
      <c r="S2" s="16" t="s">
        <v>36</v>
      </c>
      <c r="T2" s="17" t="s">
        <v>37</v>
      </c>
      <c r="U2" s="7" t="s">
        <v>24</v>
      </c>
      <c r="V2" s="7" t="s">
        <v>38</v>
      </c>
      <c r="W2" s="17" t="s">
        <v>39</v>
      </c>
      <c r="X2" s="18" t="b">
        <v>0</v>
      </c>
    </row>
    <row r="3" ht="22.5" customHeight="1">
      <c r="A3" s="19" t="s">
        <v>40</v>
      </c>
      <c r="B3" s="20" t="s">
        <v>25</v>
      </c>
      <c r="C3" s="21" t="s">
        <v>41</v>
      </c>
      <c r="D3" s="22">
        <v>45051.0</v>
      </c>
      <c r="E3" s="23" t="s">
        <v>27</v>
      </c>
      <c r="F3" s="23" t="s">
        <v>42</v>
      </c>
      <c r="G3" s="24">
        <v>45786.0</v>
      </c>
      <c r="H3" s="25">
        <v>429.4</v>
      </c>
      <c r="I3" s="25">
        <v>0.0</v>
      </c>
      <c r="J3" s="26" t="s">
        <v>29</v>
      </c>
      <c r="K3" s="27" t="s">
        <v>43</v>
      </c>
      <c r="L3" s="27" t="s">
        <v>44</v>
      </c>
      <c r="M3" s="28"/>
      <c r="N3" s="26" t="s">
        <v>32</v>
      </c>
      <c r="O3" s="29">
        <v>45794.0</v>
      </c>
      <c r="P3" s="26" t="s">
        <v>33</v>
      </c>
      <c r="Q3" s="27" t="s">
        <v>45</v>
      </c>
      <c r="R3" s="27" t="s">
        <v>46</v>
      </c>
      <c r="S3" s="27" t="s">
        <v>47</v>
      </c>
      <c r="T3" s="30" t="s">
        <v>48</v>
      </c>
      <c r="U3" s="21"/>
      <c r="V3" s="21" t="s">
        <v>49</v>
      </c>
      <c r="W3" s="30" t="s">
        <v>39</v>
      </c>
      <c r="X3" s="31" t="b">
        <v>0</v>
      </c>
    </row>
    <row r="4" ht="22.5" customHeight="1">
      <c r="A4" s="5" t="s">
        <v>50</v>
      </c>
      <c r="B4" s="6" t="s">
        <v>25</v>
      </c>
      <c r="C4" s="7" t="s">
        <v>26</v>
      </c>
      <c r="D4" s="8">
        <v>45054.0</v>
      </c>
      <c r="E4" s="9" t="s">
        <v>27</v>
      </c>
      <c r="F4" s="9" t="s">
        <v>51</v>
      </c>
      <c r="G4" s="10">
        <v>45512.0</v>
      </c>
      <c r="H4" s="11">
        <v>429.4</v>
      </c>
      <c r="I4" s="11">
        <v>0.0</v>
      </c>
      <c r="J4" s="32"/>
      <c r="K4" s="13">
        <v>1.0</v>
      </c>
      <c r="M4" s="33"/>
      <c r="N4" s="33"/>
      <c r="O4" s="34"/>
      <c r="P4" s="14" t="s">
        <v>52</v>
      </c>
      <c r="Q4" s="13" t="s">
        <v>53</v>
      </c>
      <c r="R4" s="13" t="s">
        <v>54</v>
      </c>
      <c r="S4" s="13" t="s">
        <v>55</v>
      </c>
      <c r="T4" s="17" t="s">
        <v>56</v>
      </c>
      <c r="U4" s="35"/>
      <c r="V4" s="7"/>
      <c r="W4" s="17" t="s">
        <v>57</v>
      </c>
      <c r="X4" s="18" t="b">
        <v>1</v>
      </c>
      <c r="Y4" s="36"/>
      <c r="Z4" s="36"/>
      <c r="AA4" s="37" t="s">
        <v>58</v>
      </c>
      <c r="AB4" s="36"/>
      <c r="AC4" s="36"/>
      <c r="AD4" s="36"/>
      <c r="AE4" s="36"/>
    </row>
    <row r="5" ht="22.5" customHeight="1">
      <c r="A5" s="38" t="s">
        <v>59</v>
      </c>
      <c r="B5" s="39" t="s">
        <v>25</v>
      </c>
      <c r="C5" s="40" t="s">
        <v>26</v>
      </c>
      <c r="D5" s="41">
        <v>45054.0</v>
      </c>
      <c r="E5" s="42" t="s">
        <v>27</v>
      </c>
      <c r="F5" s="42" t="s">
        <v>60</v>
      </c>
      <c r="G5" s="43">
        <v>45777.0</v>
      </c>
      <c r="H5" s="44">
        <v>429.4</v>
      </c>
      <c r="I5" s="44">
        <v>0.0</v>
      </c>
      <c r="J5" s="45" t="s">
        <v>29</v>
      </c>
      <c r="K5" s="46">
        <v>1.0</v>
      </c>
      <c r="L5" s="46" t="s">
        <v>61</v>
      </c>
      <c r="M5" s="45" t="s">
        <v>62</v>
      </c>
      <c r="N5" s="45" t="s">
        <v>63</v>
      </c>
      <c r="O5" s="47">
        <v>45784.0</v>
      </c>
      <c r="P5" s="45" t="s">
        <v>33</v>
      </c>
      <c r="Q5" s="13" t="s">
        <v>64</v>
      </c>
      <c r="R5" s="13" t="s">
        <v>65</v>
      </c>
      <c r="S5" s="13" t="s">
        <v>66</v>
      </c>
      <c r="T5" s="48" t="s">
        <v>48</v>
      </c>
      <c r="U5" s="40" t="s">
        <v>67</v>
      </c>
      <c r="V5" s="40" t="s">
        <v>68</v>
      </c>
      <c r="W5" s="48" t="b">
        <v>0</v>
      </c>
      <c r="X5" s="49" t="b">
        <v>0</v>
      </c>
    </row>
    <row r="6" ht="22.5" customHeight="1">
      <c r="A6" s="50" t="s">
        <v>69</v>
      </c>
      <c r="B6" s="51" t="s">
        <v>25</v>
      </c>
      <c r="C6" s="52" t="s">
        <v>41</v>
      </c>
      <c r="D6" s="53">
        <v>45056.0</v>
      </c>
      <c r="E6" s="54" t="s">
        <v>27</v>
      </c>
      <c r="F6" s="54" t="s">
        <v>70</v>
      </c>
      <c r="G6" s="55">
        <v>45303.0</v>
      </c>
      <c r="H6" s="56">
        <v>429.4</v>
      </c>
      <c r="I6" s="56">
        <v>0.0</v>
      </c>
      <c r="J6" s="57"/>
      <c r="K6" s="58">
        <v>1.0</v>
      </c>
      <c r="L6" s="59"/>
      <c r="M6" s="57"/>
      <c r="N6" s="57"/>
      <c r="O6" s="60"/>
      <c r="P6" s="61" t="s">
        <v>71</v>
      </c>
      <c r="Q6" s="13" t="s">
        <v>72</v>
      </c>
      <c r="R6" s="13" t="s">
        <v>73</v>
      </c>
      <c r="S6" s="13" t="s">
        <v>74</v>
      </c>
      <c r="T6" s="62" t="s">
        <v>75</v>
      </c>
      <c r="U6" s="63" t="s">
        <v>76</v>
      </c>
      <c r="V6" s="52"/>
      <c r="W6" s="62" t="s">
        <v>39</v>
      </c>
      <c r="X6" s="64" t="b">
        <v>0</v>
      </c>
      <c r="Y6" s="65"/>
      <c r="Z6" s="65"/>
      <c r="AA6" s="65"/>
      <c r="AB6" s="65"/>
      <c r="AC6" s="65"/>
      <c r="AD6" s="65"/>
      <c r="AE6" s="65"/>
    </row>
    <row r="7" ht="22.5" customHeight="1">
      <c r="A7" s="38" t="s">
        <v>77</v>
      </c>
      <c r="B7" s="39" t="s">
        <v>25</v>
      </c>
      <c r="C7" s="40" t="s">
        <v>26</v>
      </c>
      <c r="D7" s="41">
        <v>45064.0</v>
      </c>
      <c r="E7" s="42" t="s">
        <v>27</v>
      </c>
      <c r="F7" s="42" t="s">
        <v>78</v>
      </c>
      <c r="G7" s="43">
        <v>45777.0</v>
      </c>
      <c r="H7" s="44">
        <v>429.4</v>
      </c>
      <c r="I7" s="44">
        <v>0.0</v>
      </c>
      <c r="J7" s="45" t="s">
        <v>29</v>
      </c>
      <c r="K7" s="46">
        <v>1.0</v>
      </c>
      <c r="L7" s="46" t="s">
        <v>79</v>
      </c>
      <c r="M7" s="45" t="s">
        <v>62</v>
      </c>
      <c r="N7" s="45" t="s">
        <v>63</v>
      </c>
      <c r="O7" s="47">
        <v>45778.0</v>
      </c>
      <c r="P7" s="45" t="s">
        <v>33</v>
      </c>
      <c r="Q7" s="13" t="s">
        <v>80</v>
      </c>
      <c r="R7" s="13" t="s">
        <v>81</v>
      </c>
      <c r="S7" s="13" t="s">
        <v>82</v>
      </c>
      <c r="T7" s="48" t="s">
        <v>75</v>
      </c>
      <c r="U7" s="40" t="s">
        <v>83</v>
      </c>
      <c r="V7" s="40" t="s">
        <v>84</v>
      </c>
      <c r="W7" s="48" t="b">
        <v>0</v>
      </c>
      <c r="X7" s="49" t="b">
        <v>0</v>
      </c>
      <c r="Y7" s="66"/>
      <c r="Z7" s="66"/>
      <c r="AA7" s="66"/>
      <c r="AB7" s="66"/>
      <c r="AC7" s="66"/>
      <c r="AD7" s="66"/>
      <c r="AE7" s="66"/>
    </row>
    <row r="8" ht="22.5" customHeight="1">
      <c r="A8" s="67" t="s">
        <v>85</v>
      </c>
      <c r="B8" s="39" t="s">
        <v>25</v>
      </c>
      <c r="C8" s="40" t="s">
        <v>26</v>
      </c>
      <c r="D8" s="41">
        <v>45082.0</v>
      </c>
      <c r="E8" s="42" t="s">
        <v>27</v>
      </c>
      <c r="F8" s="42" t="s">
        <v>86</v>
      </c>
      <c r="G8" s="43">
        <v>45777.0</v>
      </c>
      <c r="H8" s="44">
        <v>429.4</v>
      </c>
      <c r="I8" s="44">
        <v>0.0</v>
      </c>
      <c r="J8" s="45" t="s">
        <v>29</v>
      </c>
      <c r="K8" s="46">
        <v>1.0</v>
      </c>
      <c r="L8" s="46" t="s">
        <v>87</v>
      </c>
      <c r="M8" s="45" t="s">
        <v>62</v>
      </c>
      <c r="N8" s="45" t="s">
        <v>63</v>
      </c>
      <c r="O8" s="47">
        <v>45783.0</v>
      </c>
      <c r="P8" s="45" t="s">
        <v>33</v>
      </c>
      <c r="Q8" s="46" t="s">
        <v>88</v>
      </c>
      <c r="R8" s="46" t="s">
        <v>89</v>
      </c>
      <c r="S8" s="46" t="s">
        <v>90</v>
      </c>
      <c r="T8" s="48" t="s">
        <v>48</v>
      </c>
      <c r="U8" s="68"/>
      <c r="V8" s="68" t="s">
        <v>91</v>
      </c>
      <c r="W8" s="48" t="b">
        <v>0</v>
      </c>
      <c r="X8" s="49" t="b">
        <v>0</v>
      </c>
      <c r="Y8" s="65"/>
      <c r="Z8" s="65"/>
      <c r="AA8" s="65"/>
      <c r="AB8" s="65"/>
      <c r="AC8" s="65"/>
      <c r="AD8" s="65"/>
      <c r="AE8" s="65"/>
    </row>
    <row r="9" ht="22.5" customHeight="1">
      <c r="A9" s="5" t="s">
        <v>92</v>
      </c>
      <c r="B9" s="6" t="s">
        <v>25</v>
      </c>
      <c r="C9" s="7" t="s">
        <v>26</v>
      </c>
      <c r="D9" s="8">
        <v>45086.0</v>
      </c>
      <c r="E9" s="9" t="s">
        <v>27</v>
      </c>
      <c r="F9" s="9" t="s">
        <v>93</v>
      </c>
      <c r="G9" s="10">
        <v>45787.0</v>
      </c>
      <c r="H9" s="11">
        <v>429.4</v>
      </c>
      <c r="I9" s="69">
        <v>0.0</v>
      </c>
      <c r="J9" s="12" t="s">
        <v>94</v>
      </c>
      <c r="K9" s="13">
        <v>1.0</v>
      </c>
      <c r="L9" s="13" t="s">
        <v>95</v>
      </c>
      <c r="M9" s="14" t="s">
        <v>96</v>
      </c>
      <c r="N9" s="14" t="s">
        <v>97</v>
      </c>
      <c r="O9" s="15">
        <v>45794.0</v>
      </c>
      <c r="P9" s="14" t="s">
        <v>33</v>
      </c>
      <c r="Q9" s="16" t="s">
        <v>98</v>
      </c>
      <c r="R9" s="16" t="s">
        <v>99</v>
      </c>
      <c r="S9" s="16" t="s">
        <v>100</v>
      </c>
      <c r="T9" s="17" t="s">
        <v>48</v>
      </c>
      <c r="U9" s="70"/>
      <c r="V9" s="70" t="s">
        <v>91</v>
      </c>
      <c r="W9" s="17" t="s">
        <v>101</v>
      </c>
      <c r="X9" s="18" t="b">
        <v>0</v>
      </c>
    </row>
    <row r="10" ht="22.5" customHeight="1">
      <c r="A10" s="19" t="s">
        <v>102</v>
      </c>
      <c r="B10" s="20" t="s">
        <v>25</v>
      </c>
      <c r="C10" s="21" t="s">
        <v>26</v>
      </c>
      <c r="D10" s="22">
        <v>45087.0</v>
      </c>
      <c r="E10" s="23" t="s">
        <v>27</v>
      </c>
      <c r="F10" s="23" t="s">
        <v>103</v>
      </c>
      <c r="G10" s="24">
        <v>45786.0</v>
      </c>
      <c r="H10" s="25">
        <v>802.3</v>
      </c>
      <c r="I10" s="25">
        <v>0.0</v>
      </c>
      <c r="J10" s="26" t="s">
        <v>29</v>
      </c>
      <c r="K10" s="71"/>
      <c r="L10" s="71"/>
      <c r="M10" s="28"/>
      <c r="N10" s="26" t="s">
        <v>63</v>
      </c>
      <c r="O10" s="72"/>
      <c r="P10" s="73"/>
      <c r="Q10" s="27" t="s">
        <v>104</v>
      </c>
      <c r="R10" s="27" t="s">
        <v>105</v>
      </c>
      <c r="S10" s="27" t="s">
        <v>106</v>
      </c>
      <c r="T10" s="74"/>
      <c r="U10" s="75"/>
      <c r="V10" s="75" t="s">
        <v>91</v>
      </c>
      <c r="W10" s="30" t="b">
        <v>0</v>
      </c>
      <c r="X10" s="31" t="b">
        <v>0</v>
      </c>
      <c r="Y10" s="65"/>
      <c r="Z10" s="65"/>
      <c r="AA10" s="65"/>
      <c r="AB10" s="65"/>
      <c r="AC10" s="65"/>
      <c r="AD10" s="65"/>
      <c r="AE10" s="65"/>
    </row>
    <row r="11" ht="22.5" customHeight="1">
      <c r="A11" s="76" t="s">
        <v>107</v>
      </c>
      <c r="B11" s="6" t="s">
        <v>25</v>
      </c>
      <c r="C11" s="7" t="s">
        <v>26</v>
      </c>
      <c r="D11" s="8">
        <v>45087.0</v>
      </c>
      <c r="E11" s="9" t="s">
        <v>27</v>
      </c>
      <c r="F11" s="9" t="s">
        <v>108</v>
      </c>
      <c r="G11" s="10">
        <v>45777.0</v>
      </c>
      <c r="H11" s="11">
        <v>694.95</v>
      </c>
      <c r="I11" s="11">
        <v>0.0</v>
      </c>
      <c r="J11" s="12" t="s">
        <v>29</v>
      </c>
      <c r="M11" s="14" t="s">
        <v>96</v>
      </c>
      <c r="N11" s="14" t="s">
        <v>32</v>
      </c>
      <c r="O11" s="34"/>
      <c r="P11" s="33"/>
      <c r="Q11" s="58" t="s">
        <v>109</v>
      </c>
      <c r="R11" s="16" t="s">
        <v>110</v>
      </c>
      <c r="S11" s="16" t="s">
        <v>111</v>
      </c>
      <c r="T11" s="77"/>
      <c r="U11" s="70"/>
      <c r="V11" s="70" t="s">
        <v>91</v>
      </c>
      <c r="W11" s="17" t="s">
        <v>112</v>
      </c>
      <c r="X11" s="18" t="b">
        <v>0</v>
      </c>
    </row>
    <row r="12" ht="22.5" customHeight="1">
      <c r="A12" s="67" t="s">
        <v>113</v>
      </c>
      <c r="B12" s="39" t="s">
        <v>25</v>
      </c>
      <c r="C12" s="40" t="s">
        <v>26</v>
      </c>
      <c r="D12" s="41">
        <v>45087.0</v>
      </c>
      <c r="E12" s="42" t="s">
        <v>27</v>
      </c>
      <c r="F12" s="42" t="s">
        <v>114</v>
      </c>
      <c r="G12" s="43">
        <v>45930.0</v>
      </c>
      <c r="H12" s="44">
        <v>802.3</v>
      </c>
      <c r="I12" s="78">
        <v>0.0</v>
      </c>
      <c r="J12" s="45" t="s">
        <v>115</v>
      </c>
      <c r="K12" s="79"/>
      <c r="L12" s="79"/>
      <c r="M12" s="45" t="s">
        <v>62</v>
      </c>
      <c r="N12" s="45" t="s">
        <v>63</v>
      </c>
      <c r="O12" s="80"/>
      <c r="P12" s="45" t="s">
        <v>116</v>
      </c>
      <c r="Q12" s="46" t="s">
        <v>117</v>
      </c>
      <c r="R12" s="46" t="s">
        <v>118</v>
      </c>
      <c r="S12" s="46" t="s">
        <v>119</v>
      </c>
      <c r="T12" s="48" t="s">
        <v>56</v>
      </c>
      <c r="U12" s="68"/>
      <c r="V12" s="68" t="s">
        <v>91</v>
      </c>
      <c r="W12" s="48" t="s">
        <v>101</v>
      </c>
      <c r="X12" s="49" t="b">
        <v>1</v>
      </c>
      <c r="Y12" s="36"/>
      <c r="Z12" s="36"/>
      <c r="AA12" s="37" t="s">
        <v>58</v>
      </c>
      <c r="AB12" s="36"/>
      <c r="AC12" s="36"/>
      <c r="AD12" s="36"/>
      <c r="AE12" s="36"/>
    </row>
    <row r="13" ht="22.5" customHeight="1">
      <c r="A13" s="67" t="s">
        <v>120</v>
      </c>
      <c r="B13" s="39" t="s">
        <v>25</v>
      </c>
      <c r="C13" s="40" t="s">
        <v>26</v>
      </c>
      <c r="D13" s="41">
        <v>45125.0</v>
      </c>
      <c r="E13" s="42" t="s">
        <v>27</v>
      </c>
      <c r="F13" s="42" t="s">
        <v>121</v>
      </c>
      <c r="G13" s="43">
        <v>45787.0</v>
      </c>
      <c r="H13" s="44">
        <v>86.45</v>
      </c>
      <c r="I13" s="44">
        <v>0.0</v>
      </c>
      <c r="J13" s="45" t="s">
        <v>29</v>
      </c>
      <c r="K13" s="79"/>
      <c r="L13" s="79"/>
      <c r="M13" s="45" t="s">
        <v>62</v>
      </c>
      <c r="N13" s="45" t="s">
        <v>63</v>
      </c>
      <c r="O13" s="80"/>
      <c r="P13" s="81"/>
      <c r="Q13" s="46" t="s">
        <v>122</v>
      </c>
      <c r="R13" s="46" t="s">
        <v>123</v>
      </c>
      <c r="S13" s="46" t="s">
        <v>124</v>
      </c>
      <c r="T13" s="82"/>
      <c r="U13" s="68"/>
      <c r="V13" s="68" t="s">
        <v>91</v>
      </c>
      <c r="W13" s="48" t="b">
        <v>0</v>
      </c>
      <c r="X13" s="49" t="b">
        <v>0</v>
      </c>
      <c r="Z13" s="83" t="s">
        <v>125</v>
      </c>
    </row>
    <row r="14" ht="22.5" customHeight="1">
      <c r="A14" s="5" t="s">
        <v>126</v>
      </c>
      <c r="B14" s="6" t="s">
        <v>25</v>
      </c>
      <c r="C14" s="7" t="s">
        <v>26</v>
      </c>
      <c r="D14" s="8">
        <v>45138.0</v>
      </c>
      <c r="E14" s="9" t="s">
        <v>27</v>
      </c>
      <c r="F14" s="9" t="s">
        <v>127</v>
      </c>
      <c r="G14" s="10">
        <v>45138.0</v>
      </c>
      <c r="H14" s="11">
        <v>858.8</v>
      </c>
      <c r="I14" s="11">
        <v>0.0</v>
      </c>
      <c r="J14" s="84"/>
      <c r="M14" s="33"/>
      <c r="N14" s="33"/>
      <c r="O14" s="34"/>
      <c r="P14" s="33"/>
      <c r="Q14" s="85" t="s">
        <v>128</v>
      </c>
      <c r="R14" s="16" t="s">
        <v>129</v>
      </c>
      <c r="S14" s="16" t="s">
        <v>130</v>
      </c>
      <c r="T14" s="77"/>
      <c r="U14" s="70"/>
      <c r="V14" s="70" t="s">
        <v>91</v>
      </c>
      <c r="W14" s="17" t="s">
        <v>39</v>
      </c>
      <c r="X14" s="18" t="b">
        <v>0</v>
      </c>
    </row>
    <row r="15" ht="22.5" customHeight="1">
      <c r="A15" s="5" t="s">
        <v>131</v>
      </c>
      <c r="B15" s="6" t="s">
        <v>25</v>
      </c>
      <c r="C15" s="7" t="s">
        <v>26</v>
      </c>
      <c r="D15" s="8">
        <v>45138.0</v>
      </c>
      <c r="E15" s="9" t="s">
        <v>27</v>
      </c>
      <c r="F15" s="9" t="s">
        <v>132</v>
      </c>
      <c r="G15" s="10">
        <v>45168.0</v>
      </c>
      <c r="H15" s="11">
        <v>858.8</v>
      </c>
      <c r="I15" s="11">
        <v>0.0</v>
      </c>
      <c r="J15" s="84"/>
      <c r="M15" s="33"/>
      <c r="N15" s="33"/>
      <c r="O15" s="34"/>
      <c r="P15" s="14" t="s">
        <v>52</v>
      </c>
      <c r="Q15" s="86" t="s">
        <v>133</v>
      </c>
      <c r="R15" s="16" t="s">
        <v>134</v>
      </c>
      <c r="S15" s="16" t="s">
        <v>135</v>
      </c>
      <c r="T15" s="17" t="s">
        <v>56</v>
      </c>
      <c r="U15" s="87"/>
      <c r="V15" s="70" t="s">
        <v>91</v>
      </c>
      <c r="W15" s="17" t="s">
        <v>112</v>
      </c>
      <c r="X15" s="18" t="b">
        <v>1</v>
      </c>
    </row>
    <row r="16" ht="22.5" customHeight="1">
      <c r="A16" s="67" t="s">
        <v>136</v>
      </c>
      <c r="B16" s="39" t="s">
        <v>25</v>
      </c>
      <c r="C16" s="40" t="s">
        <v>26</v>
      </c>
      <c r="D16" s="41">
        <v>45147.0</v>
      </c>
      <c r="E16" s="42" t="s">
        <v>27</v>
      </c>
      <c r="F16" s="42" t="s">
        <v>137</v>
      </c>
      <c r="G16" s="43">
        <v>45237.0</v>
      </c>
      <c r="H16" s="44">
        <v>0.0</v>
      </c>
      <c r="I16" s="44">
        <v>0.0</v>
      </c>
      <c r="J16" s="81"/>
      <c r="K16" s="79"/>
      <c r="L16" s="79"/>
      <c r="M16" s="45" t="s">
        <v>62</v>
      </c>
      <c r="N16" s="45" t="s">
        <v>63</v>
      </c>
      <c r="O16" s="80"/>
      <c r="P16" s="45" t="s">
        <v>52</v>
      </c>
      <c r="Q16" s="88" t="s">
        <v>138</v>
      </c>
      <c r="R16" s="46" t="s">
        <v>139</v>
      </c>
      <c r="S16" s="46" t="s">
        <v>140</v>
      </c>
      <c r="T16" s="82"/>
      <c r="U16" s="68"/>
      <c r="V16" s="68" t="s">
        <v>91</v>
      </c>
      <c r="W16" s="48" t="s">
        <v>57</v>
      </c>
      <c r="X16" s="49" t="b">
        <v>0</v>
      </c>
      <c r="Y16" s="65"/>
      <c r="Z16" s="65"/>
      <c r="AA16" s="65"/>
      <c r="AB16" s="65"/>
      <c r="AC16" s="65"/>
      <c r="AD16" s="65"/>
      <c r="AE16" s="65"/>
    </row>
    <row r="17" ht="22.5" customHeight="1">
      <c r="A17" s="5" t="s">
        <v>141</v>
      </c>
      <c r="B17" s="6" t="s">
        <v>25</v>
      </c>
      <c r="C17" s="7" t="s">
        <v>142</v>
      </c>
      <c r="D17" s="8">
        <v>45152.0</v>
      </c>
      <c r="E17" s="9" t="s">
        <v>27</v>
      </c>
      <c r="F17" s="9" t="s">
        <v>143</v>
      </c>
      <c r="G17" s="10">
        <v>45182.0</v>
      </c>
      <c r="H17" s="11">
        <v>858.8</v>
      </c>
      <c r="I17" s="11">
        <v>0.0</v>
      </c>
      <c r="J17" s="84"/>
      <c r="M17" s="33"/>
      <c r="N17" s="33"/>
      <c r="O17" s="34"/>
      <c r="P17" s="61" t="s">
        <v>71</v>
      </c>
      <c r="Q17" s="86" t="s">
        <v>133</v>
      </c>
      <c r="R17" s="16" t="s">
        <v>144</v>
      </c>
      <c r="S17" s="16" t="s">
        <v>145</v>
      </c>
      <c r="T17" s="17" t="s">
        <v>75</v>
      </c>
      <c r="U17" s="89" t="s">
        <v>146</v>
      </c>
      <c r="V17" s="70" t="s">
        <v>91</v>
      </c>
      <c r="W17" s="17" t="s">
        <v>57</v>
      </c>
      <c r="X17" s="18" t="b">
        <v>0</v>
      </c>
      <c r="Y17" s="65"/>
      <c r="Z17" s="65"/>
      <c r="AA17" s="65"/>
      <c r="AB17" s="65"/>
      <c r="AC17" s="65"/>
      <c r="AD17" s="65"/>
      <c r="AE17" s="65"/>
    </row>
    <row r="18" ht="22.5" customHeight="1">
      <c r="A18" s="5" t="s">
        <v>147</v>
      </c>
      <c r="B18" s="6" t="s">
        <v>25</v>
      </c>
      <c r="C18" s="7" t="s">
        <v>26</v>
      </c>
      <c r="D18" s="8">
        <v>45152.0</v>
      </c>
      <c r="E18" s="9" t="s">
        <v>27</v>
      </c>
      <c r="F18" s="9" t="s">
        <v>148</v>
      </c>
      <c r="G18" s="10">
        <v>45182.0</v>
      </c>
      <c r="H18" s="11">
        <v>858.8</v>
      </c>
      <c r="I18" s="11">
        <v>0.0</v>
      </c>
      <c r="J18" s="12" t="s">
        <v>29</v>
      </c>
      <c r="M18" s="14" t="s">
        <v>96</v>
      </c>
      <c r="N18" s="14" t="s">
        <v>32</v>
      </c>
      <c r="O18" s="34"/>
      <c r="P18" s="33"/>
      <c r="Q18" s="58" t="s">
        <v>149</v>
      </c>
      <c r="R18" s="16" t="s">
        <v>150</v>
      </c>
      <c r="S18" s="16" t="s">
        <v>151</v>
      </c>
      <c r="T18" s="77"/>
      <c r="U18" s="70"/>
      <c r="V18" s="70" t="s">
        <v>91</v>
      </c>
      <c r="W18" s="17" t="s">
        <v>152</v>
      </c>
      <c r="X18" s="18" t="b">
        <v>0</v>
      </c>
    </row>
    <row r="19" ht="22.5" customHeight="1">
      <c r="A19" s="5" t="s">
        <v>153</v>
      </c>
      <c r="B19" s="6" t="s">
        <v>25</v>
      </c>
      <c r="C19" s="7" t="s">
        <v>26</v>
      </c>
      <c r="D19" s="8">
        <v>45152.0</v>
      </c>
      <c r="E19" s="9" t="s">
        <v>27</v>
      </c>
      <c r="F19" s="9" t="s">
        <v>154</v>
      </c>
      <c r="G19" s="10">
        <v>45182.0</v>
      </c>
      <c r="H19" s="11">
        <v>858.8</v>
      </c>
      <c r="I19" s="11">
        <v>0.0</v>
      </c>
      <c r="J19" s="84"/>
      <c r="M19" s="33"/>
      <c r="N19" s="33"/>
      <c r="O19" s="34"/>
      <c r="P19" s="14" t="s">
        <v>71</v>
      </c>
      <c r="Q19" s="86" t="s">
        <v>155</v>
      </c>
      <c r="R19" s="16" t="s">
        <v>156</v>
      </c>
      <c r="S19" s="16" t="s">
        <v>157</v>
      </c>
      <c r="T19" s="17" t="s">
        <v>75</v>
      </c>
      <c r="U19" s="90" t="s">
        <v>158</v>
      </c>
      <c r="V19" s="70" t="s">
        <v>91</v>
      </c>
      <c r="W19" s="17" t="s">
        <v>57</v>
      </c>
      <c r="X19" s="18" t="b">
        <v>0</v>
      </c>
    </row>
    <row r="20" ht="22.5" customHeight="1">
      <c r="A20" s="67" t="s">
        <v>159</v>
      </c>
      <c r="B20" s="39" t="s">
        <v>25</v>
      </c>
      <c r="C20" s="40" t="s">
        <v>26</v>
      </c>
      <c r="D20" s="41">
        <v>45152.0</v>
      </c>
      <c r="E20" s="42" t="s">
        <v>27</v>
      </c>
      <c r="F20" s="42" t="s">
        <v>160</v>
      </c>
      <c r="G20" s="43">
        <v>45182.0</v>
      </c>
      <c r="H20" s="44">
        <v>858.8</v>
      </c>
      <c r="I20" s="44">
        <v>0.0</v>
      </c>
      <c r="J20" s="45" t="s">
        <v>29</v>
      </c>
      <c r="K20" s="79"/>
      <c r="L20" s="79"/>
      <c r="M20" s="45" t="s">
        <v>62</v>
      </c>
      <c r="N20" s="45" t="s">
        <v>63</v>
      </c>
      <c r="O20" s="80"/>
      <c r="P20" s="81"/>
      <c r="Q20" s="46" t="s">
        <v>161</v>
      </c>
      <c r="R20" s="46" t="s">
        <v>162</v>
      </c>
      <c r="S20" s="46" t="s">
        <v>163</v>
      </c>
      <c r="T20" s="82"/>
      <c r="U20" s="68"/>
      <c r="V20" s="68" t="s">
        <v>91</v>
      </c>
      <c r="W20" s="48" t="b">
        <v>0</v>
      </c>
      <c r="X20" s="49" t="b">
        <v>0</v>
      </c>
      <c r="Y20" s="91"/>
      <c r="Z20" s="91"/>
      <c r="AA20" s="91"/>
      <c r="AB20" s="91"/>
      <c r="AC20" s="91"/>
      <c r="AD20" s="91"/>
      <c r="AE20" s="91"/>
    </row>
    <row r="21" ht="22.5" customHeight="1">
      <c r="A21" s="67" t="s">
        <v>164</v>
      </c>
      <c r="B21" s="39" t="s">
        <v>25</v>
      </c>
      <c r="C21" s="40" t="s">
        <v>26</v>
      </c>
      <c r="D21" s="41">
        <v>45157.0</v>
      </c>
      <c r="E21" s="42" t="s">
        <v>27</v>
      </c>
      <c r="F21" s="42" t="s">
        <v>165</v>
      </c>
      <c r="G21" s="43">
        <v>45777.0</v>
      </c>
      <c r="H21" s="44">
        <v>502.85</v>
      </c>
      <c r="I21" s="44">
        <v>0.0</v>
      </c>
      <c r="J21" s="45" t="s">
        <v>29</v>
      </c>
      <c r="K21" s="79"/>
      <c r="L21" s="79"/>
      <c r="M21" s="45" t="s">
        <v>62</v>
      </c>
      <c r="N21" s="45" t="s">
        <v>63</v>
      </c>
      <c r="O21" s="80"/>
      <c r="P21" s="81"/>
      <c r="Q21" s="46" t="s">
        <v>166</v>
      </c>
      <c r="R21" s="46" t="s">
        <v>167</v>
      </c>
      <c r="S21" s="46" t="s">
        <v>168</v>
      </c>
      <c r="T21" s="82"/>
      <c r="U21" s="68"/>
      <c r="V21" s="68" t="s">
        <v>91</v>
      </c>
      <c r="W21" s="48" t="b">
        <v>0</v>
      </c>
      <c r="X21" s="49" t="b">
        <v>0</v>
      </c>
      <c r="Y21" s="91"/>
      <c r="Z21" s="91"/>
      <c r="AA21" s="91"/>
      <c r="AB21" s="91"/>
      <c r="AC21" s="91"/>
      <c r="AD21" s="91"/>
      <c r="AE21" s="91"/>
    </row>
    <row r="22" ht="22.5" customHeight="1">
      <c r="A22" s="92" t="s">
        <v>169</v>
      </c>
      <c r="B22" s="93" t="s">
        <v>25</v>
      </c>
      <c r="C22" s="94" t="s">
        <v>26</v>
      </c>
      <c r="D22" s="95">
        <v>45157.0</v>
      </c>
      <c r="E22" s="96" t="s">
        <v>27</v>
      </c>
      <c r="F22" s="96" t="s">
        <v>170</v>
      </c>
      <c r="G22" s="97">
        <v>45778.0</v>
      </c>
      <c r="H22" s="98">
        <v>551.45</v>
      </c>
      <c r="I22" s="98">
        <v>0.0</v>
      </c>
      <c r="J22" s="99" t="s">
        <v>29</v>
      </c>
      <c r="K22" s="100"/>
      <c r="L22" s="100"/>
      <c r="M22" s="99" t="s">
        <v>171</v>
      </c>
      <c r="N22" s="99" t="s">
        <v>172</v>
      </c>
      <c r="O22" s="101"/>
      <c r="P22" s="102"/>
      <c r="Q22" s="103" t="s">
        <v>173</v>
      </c>
      <c r="R22" s="103" t="s">
        <v>174</v>
      </c>
      <c r="S22" s="103" t="s">
        <v>175</v>
      </c>
      <c r="T22" s="104"/>
      <c r="U22" s="105"/>
      <c r="V22" s="105" t="s">
        <v>91</v>
      </c>
      <c r="W22" s="106" t="s">
        <v>57</v>
      </c>
      <c r="X22" s="107" t="b">
        <v>0</v>
      </c>
    </row>
    <row r="23" ht="22.5" customHeight="1">
      <c r="A23" s="92" t="s">
        <v>176</v>
      </c>
      <c r="B23" s="93" t="s">
        <v>25</v>
      </c>
      <c r="C23" s="94" t="s">
        <v>26</v>
      </c>
      <c r="D23" s="95">
        <v>45157.0</v>
      </c>
      <c r="E23" s="96" t="s">
        <v>27</v>
      </c>
      <c r="F23" s="96" t="s">
        <v>177</v>
      </c>
      <c r="G23" s="97">
        <v>45789.0</v>
      </c>
      <c r="H23" s="98">
        <v>551.45</v>
      </c>
      <c r="I23" s="98">
        <v>0.0</v>
      </c>
      <c r="J23" s="99" t="s">
        <v>29</v>
      </c>
      <c r="K23" s="100"/>
      <c r="L23" s="100"/>
      <c r="M23" s="99" t="s">
        <v>171</v>
      </c>
      <c r="N23" s="99" t="s">
        <v>172</v>
      </c>
      <c r="O23" s="101"/>
      <c r="P23" s="102"/>
      <c r="Q23" s="103" t="s">
        <v>178</v>
      </c>
      <c r="R23" s="103" t="s">
        <v>179</v>
      </c>
      <c r="S23" s="103" t="s">
        <v>180</v>
      </c>
      <c r="T23" s="104"/>
      <c r="U23" s="105"/>
      <c r="V23" s="105" t="s">
        <v>91</v>
      </c>
      <c r="W23" s="106" t="s">
        <v>181</v>
      </c>
      <c r="X23" s="107" t="b">
        <v>0</v>
      </c>
    </row>
    <row r="24" ht="22.5" customHeight="1">
      <c r="A24" s="67" t="s">
        <v>182</v>
      </c>
      <c r="B24" s="39" t="s">
        <v>25</v>
      </c>
      <c r="C24" s="40" t="s">
        <v>26</v>
      </c>
      <c r="D24" s="41">
        <v>45158.0</v>
      </c>
      <c r="E24" s="42" t="s">
        <v>27</v>
      </c>
      <c r="F24" s="42" t="s">
        <v>183</v>
      </c>
      <c r="G24" s="43">
        <v>45320.0</v>
      </c>
      <c r="H24" s="44">
        <v>551.45</v>
      </c>
      <c r="I24" s="44">
        <v>0.0</v>
      </c>
      <c r="J24" s="45" t="s">
        <v>29</v>
      </c>
      <c r="K24" s="79"/>
      <c r="L24" s="79"/>
      <c r="M24" s="45" t="s">
        <v>62</v>
      </c>
      <c r="N24" s="45" t="s">
        <v>63</v>
      </c>
      <c r="O24" s="80"/>
      <c r="P24" s="81"/>
      <c r="Q24" s="46" t="s">
        <v>184</v>
      </c>
      <c r="R24" s="46" t="s">
        <v>185</v>
      </c>
      <c r="S24" s="46" t="s">
        <v>186</v>
      </c>
      <c r="T24" s="82"/>
      <c r="U24" s="68"/>
      <c r="V24" s="68" t="s">
        <v>91</v>
      </c>
      <c r="W24" s="48" t="b">
        <v>0</v>
      </c>
      <c r="X24" s="49" t="b">
        <v>0</v>
      </c>
      <c r="Y24" s="36"/>
      <c r="Z24" s="36"/>
      <c r="AA24" s="36"/>
      <c r="AB24" s="36"/>
      <c r="AC24" s="36"/>
      <c r="AD24" s="36"/>
      <c r="AE24" s="36"/>
    </row>
    <row r="25" ht="22.5" customHeight="1">
      <c r="A25" s="67" t="s">
        <v>187</v>
      </c>
      <c r="B25" s="39" t="s">
        <v>25</v>
      </c>
      <c r="C25" s="40" t="s">
        <v>26</v>
      </c>
      <c r="D25" s="41">
        <v>45159.0</v>
      </c>
      <c r="E25" s="42" t="s">
        <v>27</v>
      </c>
      <c r="F25" s="42" t="s">
        <v>188</v>
      </c>
      <c r="G25" s="43">
        <v>45789.0</v>
      </c>
      <c r="H25" s="44">
        <v>551.45</v>
      </c>
      <c r="I25" s="44">
        <v>0.0</v>
      </c>
      <c r="J25" s="45" t="s">
        <v>29</v>
      </c>
      <c r="K25" s="79"/>
      <c r="L25" s="79"/>
      <c r="M25" s="45" t="s">
        <v>62</v>
      </c>
      <c r="N25" s="45" t="s">
        <v>63</v>
      </c>
      <c r="O25" s="80"/>
      <c r="P25" s="81"/>
      <c r="Q25" s="46" t="s">
        <v>189</v>
      </c>
      <c r="R25" s="46" t="s">
        <v>190</v>
      </c>
      <c r="S25" s="46" t="s">
        <v>191</v>
      </c>
      <c r="T25" s="82"/>
      <c r="U25" s="68"/>
      <c r="V25" s="40" t="s">
        <v>192</v>
      </c>
      <c r="W25" s="48" t="s">
        <v>112</v>
      </c>
      <c r="X25" s="49" t="b">
        <v>0</v>
      </c>
      <c r="Y25" s="65"/>
      <c r="Z25" s="65"/>
      <c r="AA25" s="65"/>
      <c r="AB25" s="65"/>
      <c r="AC25" s="65"/>
      <c r="AD25" s="65"/>
      <c r="AE25" s="65"/>
    </row>
    <row r="26" ht="22.5" customHeight="1">
      <c r="A26" s="67" t="s">
        <v>193</v>
      </c>
      <c r="B26" s="39" t="s">
        <v>25</v>
      </c>
      <c r="C26" s="40" t="s">
        <v>26</v>
      </c>
      <c r="D26" s="41">
        <v>45159.0</v>
      </c>
      <c r="E26" s="42" t="s">
        <v>27</v>
      </c>
      <c r="F26" s="42" t="s">
        <v>194</v>
      </c>
      <c r="G26" s="43">
        <v>45792.0</v>
      </c>
      <c r="H26" s="44">
        <v>551.45</v>
      </c>
      <c r="I26" s="44">
        <v>0.0</v>
      </c>
      <c r="J26" s="45" t="s">
        <v>29</v>
      </c>
      <c r="K26" s="79"/>
      <c r="L26" s="79"/>
      <c r="M26" s="45" t="s">
        <v>62</v>
      </c>
      <c r="N26" s="45" t="s">
        <v>63</v>
      </c>
      <c r="O26" s="80"/>
      <c r="P26" s="81"/>
      <c r="Q26" s="46" t="s">
        <v>195</v>
      </c>
      <c r="R26" s="46" t="s">
        <v>196</v>
      </c>
      <c r="S26" s="46" t="s">
        <v>197</v>
      </c>
      <c r="T26" s="82"/>
      <c r="U26" s="68"/>
      <c r="V26" s="68" t="s">
        <v>91</v>
      </c>
      <c r="W26" s="48" t="b">
        <v>0</v>
      </c>
      <c r="X26" s="49" t="b">
        <v>0</v>
      </c>
      <c r="Y26" s="65"/>
      <c r="Z26" s="65"/>
      <c r="AA26" s="65"/>
      <c r="AB26" s="65"/>
      <c r="AC26" s="65"/>
      <c r="AD26" s="65"/>
      <c r="AE26" s="65"/>
    </row>
    <row r="27" ht="22.5" customHeight="1">
      <c r="A27" s="67" t="s">
        <v>198</v>
      </c>
      <c r="B27" s="39" t="s">
        <v>25</v>
      </c>
      <c r="C27" s="40" t="s">
        <v>26</v>
      </c>
      <c r="D27" s="41">
        <v>45160.0</v>
      </c>
      <c r="E27" s="42" t="s">
        <v>27</v>
      </c>
      <c r="F27" s="42" t="s">
        <v>199</v>
      </c>
      <c r="G27" s="43">
        <v>45792.0</v>
      </c>
      <c r="H27" s="44">
        <v>551.45</v>
      </c>
      <c r="I27" s="44">
        <v>0.0</v>
      </c>
      <c r="J27" s="45" t="s">
        <v>29</v>
      </c>
      <c r="K27" s="79"/>
      <c r="L27" s="79"/>
      <c r="M27" s="45" t="s">
        <v>62</v>
      </c>
      <c r="N27" s="45" t="s">
        <v>63</v>
      </c>
      <c r="O27" s="80"/>
      <c r="P27" s="81"/>
      <c r="Q27" s="46" t="s">
        <v>200</v>
      </c>
      <c r="R27" s="46" t="s">
        <v>201</v>
      </c>
      <c r="S27" s="46" t="s">
        <v>202</v>
      </c>
      <c r="T27" s="82"/>
      <c r="U27" s="68"/>
      <c r="V27" s="68" t="s">
        <v>91</v>
      </c>
      <c r="W27" s="48" t="b">
        <v>0</v>
      </c>
      <c r="X27" s="49" t="b">
        <v>0</v>
      </c>
      <c r="Y27" s="36"/>
      <c r="Z27" s="36"/>
      <c r="AA27" s="36"/>
      <c r="AB27" s="36"/>
      <c r="AC27" s="36"/>
      <c r="AD27" s="36"/>
      <c r="AE27" s="36"/>
    </row>
    <row r="28" ht="22.5" customHeight="1">
      <c r="A28" s="19" t="s">
        <v>203</v>
      </c>
      <c r="B28" s="20" t="s">
        <v>25</v>
      </c>
      <c r="C28" s="21" t="s">
        <v>26</v>
      </c>
      <c r="D28" s="22">
        <v>45163.0</v>
      </c>
      <c r="E28" s="23" t="s">
        <v>27</v>
      </c>
      <c r="F28" s="23" t="s">
        <v>204</v>
      </c>
      <c r="G28" s="24">
        <v>45786.0</v>
      </c>
      <c r="H28" s="25">
        <v>551.45</v>
      </c>
      <c r="I28" s="25">
        <v>0.0</v>
      </c>
      <c r="J28" s="26" t="s">
        <v>29</v>
      </c>
      <c r="K28" s="71"/>
      <c r="L28" s="71"/>
      <c r="M28" s="26" t="s">
        <v>62</v>
      </c>
      <c r="N28" s="26" t="s">
        <v>63</v>
      </c>
      <c r="O28" s="72"/>
      <c r="P28" s="73"/>
      <c r="Q28" s="27" t="s">
        <v>205</v>
      </c>
      <c r="R28" s="27" t="s">
        <v>206</v>
      </c>
      <c r="S28" s="27" t="s">
        <v>207</v>
      </c>
      <c r="T28" s="74"/>
      <c r="U28" s="75"/>
      <c r="V28" s="21" t="s">
        <v>208</v>
      </c>
      <c r="W28" s="30" t="b">
        <v>0</v>
      </c>
      <c r="X28" s="31" t="b">
        <v>0</v>
      </c>
      <c r="Y28" s="65"/>
      <c r="Z28" s="65"/>
      <c r="AA28" s="65"/>
      <c r="AB28" s="65"/>
      <c r="AC28" s="65"/>
      <c r="AD28" s="65"/>
      <c r="AE28" s="65"/>
    </row>
    <row r="29" ht="22.5" customHeight="1">
      <c r="A29" s="5" t="s">
        <v>209</v>
      </c>
      <c r="B29" s="6" t="s">
        <v>25</v>
      </c>
      <c r="C29" s="7" t="s">
        <v>26</v>
      </c>
      <c r="D29" s="8">
        <v>45163.0</v>
      </c>
      <c r="E29" s="9" t="s">
        <v>27</v>
      </c>
      <c r="F29" s="9" t="s">
        <v>210</v>
      </c>
      <c r="G29" s="10">
        <v>45930.0</v>
      </c>
      <c r="H29" s="11">
        <v>551.45</v>
      </c>
      <c r="I29" s="69">
        <v>0.0</v>
      </c>
      <c r="J29" s="84"/>
      <c r="M29" s="33"/>
      <c r="N29" s="33"/>
      <c r="O29" s="34"/>
      <c r="P29" s="14" t="s">
        <v>52</v>
      </c>
      <c r="Q29" s="108"/>
      <c r="R29" s="58" t="s">
        <v>211</v>
      </c>
      <c r="S29" s="16" t="s">
        <v>212</v>
      </c>
      <c r="T29" s="17" t="s">
        <v>37</v>
      </c>
      <c r="U29" s="109" t="s">
        <v>213</v>
      </c>
      <c r="V29" s="70" t="s">
        <v>91</v>
      </c>
      <c r="W29" s="17" t="s">
        <v>152</v>
      </c>
      <c r="X29" s="18" t="b">
        <v>1</v>
      </c>
    </row>
    <row r="30" ht="22.5" customHeight="1">
      <c r="A30" s="5" t="s">
        <v>214</v>
      </c>
      <c r="B30" s="6" t="s">
        <v>25</v>
      </c>
      <c r="C30" s="7" t="s">
        <v>26</v>
      </c>
      <c r="D30" s="8">
        <v>45170.0</v>
      </c>
      <c r="E30" s="9" t="s">
        <v>27</v>
      </c>
      <c r="F30" s="9" t="s">
        <v>215</v>
      </c>
      <c r="G30" s="10">
        <v>45930.0</v>
      </c>
      <c r="H30" s="11">
        <v>551.45</v>
      </c>
      <c r="I30" s="69">
        <v>0.0</v>
      </c>
      <c r="J30" s="84"/>
      <c r="M30" s="33"/>
      <c r="N30" s="33"/>
      <c r="O30" s="34"/>
      <c r="P30" s="61" t="s">
        <v>52</v>
      </c>
      <c r="Q30" s="58" t="s">
        <v>216</v>
      </c>
      <c r="R30" s="16" t="s">
        <v>217</v>
      </c>
      <c r="S30" s="16" t="s">
        <v>218</v>
      </c>
      <c r="T30" s="17" t="s">
        <v>48</v>
      </c>
      <c r="U30" s="63" t="s">
        <v>214</v>
      </c>
      <c r="V30" s="70" t="s">
        <v>91</v>
      </c>
      <c r="W30" s="17" t="s">
        <v>57</v>
      </c>
      <c r="X30" s="18" t="b">
        <v>1</v>
      </c>
    </row>
    <row r="31" ht="22.5" customHeight="1">
      <c r="A31" s="67" t="s">
        <v>219</v>
      </c>
      <c r="B31" s="39" t="s">
        <v>25</v>
      </c>
      <c r="C31" s="40" t="s">
        <v>26</v>
      </c>
      <c r="D31" s="41">
        <v>45172.0</v>
      </c>
      <c r="E31" s="42" t="s">
        <v>27</v>
      </c>
      <c r="F31" s="42" t="s">
        <v>220</v>
      </c>
      <c r="G31" s="43">
        <v>45784.0</v>
      </c>
      <c r="H31" s="44">
        <v>551.45</v>
      </c>
      <c r="I31" s="44">
        <v>0.0</v>
      </c>
      <c r="J31" s="45" t="s">
        <v>29</v>
      </c>
      <c r="K31" s="79"/>
      <c r="L31" s="79"/>
      <c r="M31" s="45" t="s">
        <v>62</v>
      </c>
      <c r="N31" s="45" t="s">
        <v>63</v>
      </c>
      <c r="O31" s="80"/>
      <c r="P31" s="81"/>
      <c r="Q31" s="46" t="s">
        <v>221</v>
      </c>
      <c r="R31" s="46" t="s">
        <v>222</v>
      </c>
      <c r="S31" s="46" t="s">
        <v>223</v>
      </c>
      <c r="T31" s="82"/>
      <c r="U31" s="68"/>
      <c r="V31" s="68" t="s">
        <v>91</v>
      </c>
      <c r="W31" s="48" t="s">
        <v>101</v>
      </c>
      <c r="X31" s="49" t="b">
        <v>0</v>
      </c>
      <c r="Y31" s="65"/>
      <c r="Z31" s="65"/>
      <c r="AA31" s="65"/>
      <c r="AB31" s="65"/>
      <c r="AC31" s="65"/>
      <c r="AD31" s="65"/>
      <c r="AE31" s="65"/>
    </row>
    <row r="32" ht="22.5" customHeight="1">
      <c r="A32" s="76" t="s">
        <v>224</v>
      </c>
      <c r="B32" s="6" t="s">
        <v>25</v>
      </c>
      <c r="C32" s="7" t="s">
        <v>41</v>
      </c>
      <c r="D32" s="8">
        <v>45175.0</v>
      </c>
      <c r="E32" s="9" t="s">
        <v>27</v>
      </c>
      <c r="F32" s="9" t="s">
        <v>225</v>
      </c>
      <c r="G32" s="10">
        <v>45190.0</v>
      </c>
      <c r="H32" s="11">
        <v>644.1</v>
      </c>
      <c r="I32" s="11">
        <v>0.0</v>
      </c>
      <c r="J32" s="84"/>
      <c r="K32" s="110">
        <v>2.0</v>
      </c>
      <c r="M32" s="33"/>
      <c r="N32" s="33"/>
      <c r="O32" s="34"/>
      <c r="P32" s="14" t="s">
        <v>33</v>
      </c>
      <c r="Q32" s="89" t="s">
        <v>226</v>
      </c>
      <c r="R32" s="16" t="s">
        <v>227</v>
      </c>
      <c r="S32" s="16" t="s">
        <v>228</v>
      </c>
      <c r="T32" s="17" t="s">
        <v>229</v>
      </c>
      <c r="U32" s="70"/>
      <c r="V32" s="70" t="s">
        <v>91</v>
      </c>
      <c r="W32" s="17" t="s">
        <v>112</v>
      </c>
      <c r="X32" s="18" t="b">
        <v>1</v>
      </c>
      <c r="Y32" s="65"/>
      <c r="Z32" s="65"/>
      <c r="AA32" s="65"/>
      <c r="AB32" s="65"/>
      <c r="AC32" s="65"/>
      <c r="AD32" s="65"/>
      <c r="AE32" s="65"/>
    </row>
    <row r="33" ht="22.5" customHeight="1">
      <c r="A33" s="5" t="s">
        <v>230</v>
      </c>
      <c r="B33" s="6" t="s">
        <v>25</v>
      </c>
      <c r="C33" s="7" t="s">
        <v>26</v>
      </c>
      <c r="D33" s="8">
        <v>45196.0</v>
      </c>
      <c r="E33" s="9" t="s">
        <v>27</v>
      </c>
      <c r="F33" s="9" t="s">
        <v>231</v>
      </c>
      <c r="G33" s="10">
        <v>45784.0</v>
      </c>
      <c r="H33" s="11">
        <v>258.8</v>
      </c>
      <c r="I33" s="11">
        <v>0.0</v>
      </c>
      <c r="J33" s="12" t="s">
        <v>29</v>
      </c>
      <c r="M33" s="14" t="s">
        <v>96</v>
      </c>
      <c r="N33" s="14" t="s">
        <v>32</v>
      </c>
      <c r="O33" s="34"/>
      <c r="P33" s="33"/>
      <c r="Q33" s="58" t="s">
        <v>232</v>
      </c>
      <c r="R33" s="16" t="s">
        <v>233</v>
      </c>
      <c r="S33" s="16" t="s">
        <v>234</v>
      </c>
      <c r="T33" s="77"/>
      <c r="U33" s="70"/>
      <c r="V33" s="70" t="s">
        <v>91</v>
      </c>
      <c r="W33" s="17" t="s">
        <v>112</v>
      </c>
      <c r="X33" s="18" t="b">
        <v>0</v>
      </c>
      <c r="Y33" s="36"/>
      <c r="Z33" s="36"/>
      <c r="AA33" s="36"/>
      <c r="AB33" s="36"/>
      <c r="AC33" s="36"/>
      <c r="AD33" s="36"/>
      <c r="AE33" s="36"/>
    </row>
    <row r="34" ht="22.5" customHeight="1">
      <c r="A34" s="67" t="s">
        <v>235</v>
      </c>
      <c r="B34" s="39" t="s">
        <v>25</v>
      </c>
      <c r="C34" s="40" t="s">
        <v>26</v>
      </c>
      <c r="D34" s="41">
        <v>45198.0</v>
      </c>
      <c r="E34" s="42" t="s">
        <v>27</v>
      </c>
      <c r="F34" s="42" t="s">
        <v>236</v>
      </c>
      <c r="G34" s="43">
        <v>45789.0</v>
      </c>
      <c r="H34" s="44">
        <v>444.1</v>
      </c>
      <c r="I34" s="44">
        <v>0.0</v>
      </c>
      <c r="J34" s="45" t="s">
        <v>29</v>
      </c>
      <c r="K34" s="79"/>
      <c r="L34" s="79"/>
      <c r="M34" s="45" t="s">
        <v>62</v>
      </c>
      <c r="N34" s="45" t="s">
        <v>63</v>
      </c>
      <c r="O34" s="80"/>
      <c r="P34" s="81"/>
      <c r="Q34" s="46" t="s">
        <v>237</v>
      </c>
      <c r="R34" s="46" t="s">
        <v>238</v>
      </c>
      <c r="S34" s="46" t="s">
        <v>239</v>
      </c>
      <c r="T34" s="82"/>
      <c r="U34" s="68"/>
      <c r="V34" s="68" t="s">
        <v>91</v>
      </c>
      <c r="W34" s="48" t="b">
        <v>0</v>
      </c>
      <c r="X34" s="49" t="b">
        <v>0</v>
      </c>
      <c r="Y34" s="65"/>
      <c r="Z34" s="65"/>
      <c r="AA34" s="65"/>
      <c r="AB34" s="65"/>
      <c r="AC34" s="65"/>
      <c r="AD34" s="65"/>
      <c r="AE34" s="65"/>
    </row>
    <row r="35" ht="22.5" customHeight="1">
      <c r="A35" s="67" t="s">
        <v>240</v>
      </c>
      <c r="B35" s="39" t="s">
        <v>25</v>
      </c>
      <c r="C35" s="40" t="s">
        <v>26</v>
      </c>
      <c r="D35" s="41">
        <v>45200.0</v>
      </c>
      <c r="E35" s="42" t="s">
        <v>27</v>
      </c>
      <c r="F35" s="42" t="s">
        <v>241</v>
      </c>
      <c r="G35" s="43">
        <v>45787.0</v>
      </c>
      <c r="H35" s="44">
        <v>336.75</v>
      </c>
      <c r="I35" s="44">
        <v>0.0</v>
      </c>
      <c r="J35" s="45" t="s">
        <v>29</v>
      </c>
      <c r="K35" s="79"/>
      <c r="L35" s="79"/>
      <c r="M35" s="45" t="s">
        <v>62</v>
      </c>
      <c r="N35" s="45" t="s">
        <v>63</v>
      </c>
      <c r="O35" s="80"/>
      <c r="P35" s="81"/>
      <c r="Q35" s="46" t="s">
        <v>242</v>
      </c>
      <c r="R35" s="46" t="s">
        <v>243</v>
      </c>
      <c r="S35" s="46" t="s">
        <v>244</v>
      </c>
      <c r="T35" s="82"/>
      <c r="U35" s="68"/>
      <c r="V35" s="40" t="s">
        <v>245</v>
      </c>
      <c r="W35" s="48" t="b">
        <v>0</v>
      </c>
      <c r="X35" s="49" t="b">
        <v>0</v>
      </c>
    </row>
    <row r="36" ht="22.5" customHeight="1">
      <c r="A36" s="5" t="s">
        <v>246</v>
      </c>
      <c r="B36" s="6" t="s">
        <v>25</v>
      </c>
      <c r="C36" s="7" t="s">
        <v>26</v>
      </c>
      <c r="D36" s="8">
        <v>45200.0</v>
      </c>
      <c r="E36" s="9" t="s">
        <v>27</v>
      </c>
      <c r="F36" s="9" t="s">
        <v>247</v>
      </c>
      <c r="G36" s="10">
        <v>45200.0</v>
      </c>
      <c r="H36" s="11">
        <v>0.0</v>
      </c>
      <c r="I36" s="11">
        <v>0.0</v>
      </c>
      <c r="J36" s="12" t="s">
        <v>29</v>
      </c>
      <c r="M36" s="14" t="s">
        <v>96</v>
      </c>
      <c r="N36" s="14" t="s">
        <v>32</v>
      </c>
      <c r="O36" s="34"/>
      <c r="P36" s="33"/>
      <c r="Q36" s="58" t="s">
        <v>248</v>
      </c>
      <c r="R36" s="58" t="s">
        <v>249</v>
      </c>
      <c r="S36" s="16" t="s">
        <v>250</v>
      </c>
      <c r="T36" s="77"/>
      <c r="U36" s="70"/>
      <c r="V36" s="70" t="s">
        <v>91</v>
      </c>
      <c r="W36" s="17" t="s">
        <v>112</v>
      </c>
      <c r="X36" s="18" t="b">
        <v>0</v>
      </c>
    </row>
    <row r="37" ht="22.5" customHeight="1">
      <c r="A37" s="5" t="s">
        <v>251</v>
      </c>
      <c r="B37" s="6" t="s">
        <v>25</v>
      </c>
      <c r="C37" s="111" t="s">
        <v>26</v>
      </c>
      <c r="D37" s="8">
        <v>45201.0</v>
      </c>
      <c r="E37" s="9" t="s">
        <v>27</v>
      </c>
      <c r="F37" s="9" t="s">
        <v>252</v>
      </c>
      <c r="G37" s="10">
        <v>45291.0</v>
      </c>
      <c r="H37" s="11">
        <v>0.0</v>
      </c>
      <c r="I37" s="11">
        <v>0.0</v>
      </c>
      <c r="J37" s="84"/>
      <c r="M37" s="33"/>
      <c r="N37" s="33"/>
      <c r="O37" s="34"/>
      <c r="P37" s="33"/>
      <c r="Q37" s="111" t="s">
        <v>253</v>
      </c>
      <c r="R37" s="111" t="s">
        <v>253</v>
      </c>
      <c r="S37" s="16" t="s">
        <v>254</v>
      </c>
      <c r="T37" s="77"/>
      <c r="U37" s="70"/>
      <c r="V37" s="111" t="s">
        <v>253</v>
      </c>
      <c r="W37" s="112" t="s">
        <v>181</v>
      </c>
      <c r="X37" s="113" t="b">
        <v>0</v>
      </c>
      <c r="Y37" s="36"/>
      <c r="Z37" s="36"/>
      <c r="AA37" s="36"/>
      <c r="AB37" s="36"/>
      <c r="AC37" s="36"/>
      <c r="AD37" s="36"/>
      <c r="AE37" s="36"/>
    </row>
    <row r="38" ht="22.5" customHeight="1">
      <c r="A38" s="5" t="s">
        <v>255</v>
      </c>
      <c r="B38" s="6" t="s">
        <v>25</v>
      </c>
      <c r="C38" s="7" t="s">
        <v>26</v>
      </c>
      <c r="D38" s="8">
        <v>45202.0</v>
      </c>
      <c r="E38" s="9" t="s">
        <v>27</v>
      </c>
      <c r="F38" s="9" t="s">
        <v>256</v>
      </c>
      <c r="G38" s="10">
        <v>45930.0</v>
      </c>
      <c r="H38" s="69">
        <v>751.45</v>
      </c>
      <c r="I38" s="11">
        <v>0.0</v>
      </c>
      <c r="J38" s="84"/>
      <c r="M38" s="33"/>
      <c r="N38" s="33"/>
      <c r="O38" s="34"/>
      <c r="P38" s="14" t="s">
        <v>52</v>
      </c>
      <c r="Q38" s="13" t="s">
        <v>257</v>
      </c>
      <c r="R38" s="58" t="s">
        <v>258</v>
      </c>
      <c r="S38" s="16" t="s">
        <v>259</v>
      </c>
      <c r="T38" s="77"/>
      <c r="U38" s="70"/>
      <c r="V38" s="70" t="s">
        <v>91</v>
      </c>
      <c r="W38" s="17" t="b">
        <v>0</v>
      </c>
      <c r="X38" s="18" t="b">
        <v>0</v>
      </c>
      <c r="Y38" s="65"/>
      <c r="Z38" s="65"/>
      <c r="AA38" s="65"/>
      <c r="AB38" s="65"/>
      <c r="AC38" s="65"/>
      <c r="AD38" s="65"/>
      <c r="AE38" s="65"/>
    </row>
    <row r="39" ht="22.5" customHeight="1">
      <c r="A39" s="5" t="s">
        <v>260</v>
      </c>
      <c r="B39" s="6" t="s">
        <v>25</v>
      </c>
      <c r="C39" s="7" t="s">
        <v>26</v>
      </c>
      <c r="D39" s="8">
        <v>45261.0</v>
      </c>
      <c r="E39" s="9" t="s">
        <v>27</v>
      </c>
      <c r="F39" s="9" t="s">
        <v>261</v>
      </c>
      <c r="G39" s="10">
        <v>45786.0</v>
      </c>
      <c r="H39" s="11">
        <v>552.45</v>
      </c>
      <c r="I39" s="11">
        <v>0.0</v>
      </c>
      <c r="J39" s="12" t="s">
        <v>29</v>
      </c>
      <c r="M39" s="12" t="s">
        <v>262</v>
      </c>
      <c r="N39" s="12"/>
      <c r="O39" s="114"/>
      <c r="P39" s="84"/>
      <c r="Q39" s="13" t="s">
        <v>263</v>
      </c>
      <c r="R39" s="13" t="s">
        <v>264</v>
      </c>
      <c r="S39" s="13" t="s">
        <v>265</v>
      </c>
      <c r="T39" s="77"/>
      <c r="U39" s="70"/>
      <c r="V39" s="7" t="s">
        <v>266</v>
      </c>
      <c r="W39" s="17" t="s">
        <v>101</v>
      </c>
      <c r="X39" s="18" t="b">
        <v>0</v>
      </c>
      <c r="Y39" s="65"/>
      <c r="Z39" s="65"/>
      <c r="AA39" s="65"/>
      <c r="AB39" s="65"/>
      <c r="AC39" s="65"/>
      <c r="AD39" s="65"/>
      <c r="AE39" s="65"/>
    </row>
    <row r="40" ht="22.5" customHeight="1">
      <c r="A40" s="67" t="s">
        <v>267</v>
      </c>
      <c r="B40" s="39" t="s">
        <v>25</v>
      </c>
      <c r="C40" s="40" t="s">
        <v>26</v>
      </c>
      <c r="D40" s="41">
        <v>45299.0</v>
      </c>
      <c r="E40" s="42" t="s">
        <v>27</v>
      </c>
      <c r="F40" s="42" t="s">
        <v>268</v>
      </c>
      <c r="G40" s="43">
        <v>45784.0</v>
      </c>
      <c r="H40" s="44">
        <v>526.58</v>
      </c>
      <c r="I40" s="44">
        <v>0.0</v>
      </c>
      <c r="J40" s="45" t="s">
        <v>29</v>
      </c>
      <c r="K40" s="79"/>
      <c r="L40" s="79"/>
      <c r="M40" s="45" t="s">
        <v>62</v>
      </c>
      <c r="N40" s="45" t="s">
        <v>63</v>
      </c>
      <c r="O40" s="80"/>
      <c r="P40" s="81"/>
      <c r="Q40" s="46" t="s">
        <v>269</v>
      </c>
      <c r="R40" s="46" t="s">
        <v>270</v>
      </c>
      <c r="S40" s="46" t="s">
        <v>271</v>
      </c>
      <c r="T40" s="82"/>
      <c r="U40" s="68"/>
      <c r="V40" s="40" t="s">
        <v>266</v>
      </c>
      <c r="W40" s="48" t="s">
        <v>112</v>
      </c>
      <c r="X40" s="49" t="b">
        <v>0</v>
      </c>
    </row>
    <row r="41" ht="22.5" customHeight="1">
      <c r="A41" s="67" t="s">
        <v>272</v>
      </c>
      <c r="B41" s="39" t="s">
        <v>25</v>
      </c>
      <c r="C41" s="40" t="s">
        <v>26</v>
      </c>
      <c r="D41" s="41">
        <v>45299.0</v>
      </c>
      <c r="E41" s="42" t="s">
        <v>27</v>
      </c>
      <c r="F41" s="42" t="s">
        <v>273</v>
      </c>
      <c r="G41" s="43">
        <v>45930.0</v>
      </c>
      <c r="H41" s="44">
        <v>0.0</v>
      </c>
      <c r="I41" s="44">
        <v>0.0</v>
      </c>
      <c r="J41" s="45" t="s">
        <v>115</v>
      </c>
      <c r="K41" s="79"/>
      <c r="L41" s="79"/>
      <c r="M41" s="45" t="s">
        <v>62</v>
      </c>
      <c r="N41" s="45" t="s">
        <v>63</v>
      </c>
      <c r="O41" s="80"/>
      <c r="P41" s="81"/>
      <c r="Q41" s="88" t="s">
        <v>128</v>
      </c>
      <c r="R41" s="88" t="s">
        <v>128</v>
      </c>
      <c r="S41" s="46" t="s">
        <v>274</v>
      </c>
      <c r="T41" s="82"/>
      <c r="U41" s="68"/>
      <c r="V41" s="68" t="s">
        <v>91</v>
      </c>
      <c r="W41" s="48" t="b">
        <v>0</v>
      </c>
      <c r="X41" s="49" t="b">
        <v>0</v>
      </c>
      <c r="Y41" s="36"/>
      <c r="Z41" s="36"/>
      <c r="AA41" s="36"/>
      <c r="AB41" s="36"/>
      <c r="AC41" s="36"/>
      <c r="AD41" s="36"/>
      <c r="AE41" s="36"/>
    </row>
    <row r="42" ht="22.5" customHeight="1">
      <c r="A42" s="5" t="s">
        <v>275</v>
      </c>
      <c r="B42" s="6" t="s">
        <v>25</v>
      </c>
      <c r="C42" s="7" t="s">
        <v>26</v>
      </c>
      <c r="D42" s="8">
        <v>45360.0</v>
      </c>
      <c r="E42" s="9" t="s">
        <v>27</v>
      </c>
      <c r="F42" s="9" t="s">
        <v>276</v>
      </c>
      <c r="G42" s="10">
        <v>45930.0</v>
      </c>
      <c r="H42" s="11">
        <v>867.85</v>
      </c>
      <c r="I42" s="69">
        <v>0.0</v>
      </c>
      <c r="J42" s="84"/>
      <c r="M42" s="33"/>
      <c r="N42" s="33"/>
      <c r="O42" s="34"/>
      <c r="P42" s="14" t="s">
        <v>52</v>
      </c>
      <c r="Q42" s="16" t="s">
        <v>277</v>
      </c>
      <c r="R42" s="58" t="s">
        <v>278</v>
      </c>
      <c r="S42" s="16" t="s">
        <v>279</v>
      </c>
      <c r="T42" s="77"/>
      <c r="U42" s="70"/>
      <c r="V42" s="70" t="s">
        <v>91</v>
      </c>
      <c r="W42" s="17" t="s">
        <v>112</v>
      </c>
      <c r="X42" s="18" t="b">
        <v>1</v>
      </c>
    </row>
    <row r="43" ht="22.5" customHeight="1">
      <c r="A43" s="67" t="s">
        <v>280</v>
      </c>
      <c r="B43" s="39" t="s">
        <v>25</v>
      </c>
      <c r="C43" s="40" t="s">
        <v>26</v>
      </c>
      <c r="D43" s="41">
        <v>45361.0</v>
      </c>
      <c r="E43" s="42" t="s">
        <v>27</v>
      </c>
      <c r="F43" s="42" t="s">
        <v>281</v>
      </c>
      <c r="G43" s="43">
        <v>45779.0</v>
      </c>
      <c r="H43" s="44">
        <v>867.85</v>
      </c>
      <c r="I43" s="44">
        <v>0.0</v>
      </c>
      <c r="J43" s="45" t="s">
        <v>29</v>
      </c>
      <c r="K43" s="79"/>
      <c r="L43" s="79"/>
      <c r="M43" s="45" t="s">
        <v>62</v>
      </c>
      <c r="N43" s="45" t="s">
        <v>63</v>
      </c>
      <c r="O43" s="80"/>
      <c r="P43" s="81"/>
      <c r="Q43" s="46" t="s">
        <v>282</v>
      </c>
      <c r="R43" s="46" t="s">
        <v>283</v>
      </c>
      <c r="S43" s="46" t="s">
        <v>284</v>
      </c>
      <c r="T43" s="82"/>
      <c r="U43" s="68"/>
      <c r="V43" s="68" t="s">
        <v>91</v>
      </c>
      <c r="W43" s="48" t="b">
        <v>0</v>
      </c>
      <c r="X43" s="49" t="b">
        <v>0</v>
      </c>
    </row>
    <row r="44" ht="22.5" customHeight="1">
      <c r="A44" s="19" t="s">
        <v>285</v>
      </c>
      <c r="B44" s="20" t="s">
        <v>25</v>
      </c>
      <c r="C44" s="21" t="s">
        <v>26</v>
      </c>
      <c r="D44" s="22">
        <v>45367.0</v>
      </c>
      <c r="E44" s="23" t="s">
        <v>27</v>
      </c>
      <c r="F44" s="23" t="s">
        <v>286</v>
      </c>
      <c r="G44" s="24">
        <v>45779.0</v>
      </c>
      <c r="H44" s="25">
        <v>867.85</v>
      </c>
      <c r="I44" s="25">
        <v>0.0</v>
      </c>
      <c r="J44" s="26" t="s">
        <v>29</v>
      </c>
      <c r="K44" s="71"/>
      <c r="L44" s="71"/>
      <c r="M44" s="26" t="s">
        <v>62</v>
      </c>
      <c r="N44" s="26" t="s">
        <v>63</v>
      </c>
      <c r="O44" s="72"/>
      <c r="P44" s="73"/>
      <c r="Q44" s="27" t="s">
        <v>287</v>
      </c>
      <c r="R44" s="27" t="s">
        <v>288</v>
      </c>
      <c r="S44" s="27" t="s">
        <v>289</v>
      </c>
      <c r="T44" s="74"/>
      <c r="U44" s="75"/>
      <c r="V44" s="21" t="s">
        <v>290</v>
      </c>
      <c r="W44" s="30" t="b">
        <v>0</v>
      </c>
      <c r="X44" s="31" t="b">
        <v>0</v>
      </c>
    </row>
    <row r="45" ht="22.5" customHeight="1">
      <c r="A45" s="5" t="s">
        <v>291</v>
      </c>
      <c r="B45" s="6" t="s">
        <v>25</v>
      </c>
      <c r="C45" s="7" t="s">
        <v>26</v>
      </c>
      <c r="D45" s="8">
        <v>45368.0</v>
      </c>
      <c r="E45" s="9" t="s">
        <v>27</v>
      </c>
      <c r="F45" s="9" t="s">
        <v>292</v>
      </c>
      <c r="G45" s="10">
        <v>45657.0</v>
      </c>
      <c r="H45" s="11">
        <v>0.0</v>
      </c>
      <c r="I45" s="11">
        <v>0.0</v>
      </c>
      <c r="J45" s="84"/>
      <c r="M45" s="33"/>
      <c r="N45" s="33"/>
      <c r="O45" s="34"/>
      <c r="P45" s="33"/>
      <c r="Q45" s="16" t="s">
        <v>293</v>
      </c>
      <c r="R45" s="16" t="s">
        <v>294</v>
      </c>
      <c r="S45" s="16" t="s">
        <v>295</v>
      </c>
      <c r="T45" s="77"/>
      <c r="U45" s="70"/>
      <c r="V45" s="70" t="s">
        <v>91</v>
      </c>
      <c r="W45" s="17" t="s">
        <v>181</v>
      </c>
      <c r="X45" s="18" t="b">
        <v>0</v>
      </c>
    </row>
    <row r="46" ht="22.5" customHeight="1">
      <c r="A46" s="67" t="s">
        <v>296</v>
      </c>
      <c r="B46" s="39" t="s">
        <v>25</v>
      </c>
      <c r="C46" s="40" t="s">
        <v>26</v>
      </c>
      <c r="D46" s="41">
        <v>45374.0</v>
      </c>
      <c r="E46" s="42" t="s">
        <v>27</v>
      </c>
      <c r="F46" s="42" t="s">
        <v>297</v>
      </c>
      <c r="G46" s="43">
        <v>45930.0</v>
      </c>
      <c r="H46" s="44">
        <v>867.85</v>
      </c>
      <c r="I46" s="78">
        <v>0.0</v>
      </c>
      <c r="J46" s="45" t="s">
        <v>29</v>
      </c>
      <c r="K46" s="79"/>
      <c r="L46" s="79"/>
      <c r="M46" s="45" t="s">
        <v>62</v>
      </c>
      <c r="N46" s="45" t="s">
        <v>63</v>
      </c>
      <c r="O46" s="80"/>
      <c r="P46" s="81"/>
      <c r="Q46" s="46" t="s">
        <v>298</v>
      </c>
      <c r="R46" s="46" t="s">
        <v>299</v>
      </c>
      <c r="S46" s="46" t="s">
        <v>300</v>
      </c>
      <c r="T46" s="82"/>
      <c r="U46" s="68"/>
      <c r="V46" s="68" t="s">
        <v>91</v>
      </c>
      <c r="W46" s="48" t="b">
        <v>0</v>
      </c>
      <c r="X46" s="49" t="b">
        <v>0</v>
      </c>
      <c r="Y46" s="65"/>
      <c r="Z46" s="65"/>
      <c r="AA46" s="65"/>
      <c r="AB46" s="65"/>
      <c r="AC46" s="65"/>
      <c r="AD46" s="65"/>
      <c r="AE46" s="65"/>
    </row>
    <row r="47" ht="22.5" customHeight="1">
      <c r="A47" s="5" t="s">
        <v>301</v>
      </c>
      <c r="B47" s="6" t="s">
        <v>25</v>
      </c>
      <c r="C47" s="7" t="s">
        <v>26</v>
      </c>
      <c r="D47" s="8">
        <v>45496.0</v>
      </c>
      <c r="E47" s="9" t="s">
        <v>27</v>
      </c>
      <c r="F47" s="9" t="s">
        <v>302</v>
      </c>
      <c r="G47" s="10">
        <v>45496.0</v>
      </c>
      <c r="H47" s="11">
        <v>1467.87</v>
      </c>
      <c r="I47" s="11">
        <v>0.0</v>
      </c>
      <c r="J47" s="84"/>
      <c r="K47" s="13"/>
      <c r="L47" s="13" t="s">
        <v>303</v>
      </c>
      <c r="M47" s="33"/>
      <c r="N47" s="33"/>
      <c r="O47" s="34"/>
      <c r="P47" s="33"/>
      <c r="Q47" s="16" t="s">
        <v>304</v>
      </c>
      <c r="R47" s="115" t="s">
        <v>305</v>
      </c>
      <c r="S47" s="16" t="s">
        <v>306</v>
      </c>
      <c r="T47" s="77"/>
      <c r="U47" s="70"/>
      <c r="V47" s="70" t="s">
        <v>91</v>
      </c>
      <c r="W47" s="17" t="b">
        <v>0</v>
      </c>
      <c r="X47" s="18" t="b">
        <v>0</v>
      </c>
      <c r="Y47" s="36"/>
      <c r="Z47" s="36"/>
      <c r="AA47" s="36"/>
      <c r="AB47" s="36"/>
      <c r="AC47" s="36"/>
      <c r="AD47" s="36"/>
      <c r="AE47" s="36"/>
    </row>
    <row r="48" ht="22.5" customHeight="1">
      <c r="A48" s="5" t="s">
        <v>301</v>
      </c>
      <c r="B48" s="6" t="s">
        <v>25</v>
      </c>
      <c r="C48" s="7" t="s">
        <v>26</v>
      </c>
      <c r="D48" s="8">
        <v>45502.0</v>
      </c>
      <c r="E48" s="9" t="s">
        <v>27</v>
      </c>
      <c r="F48" s="9" t="s">
        <v>307</v>
      </c>
      <c r="G48" s="10">
        <v>45502.0</v>
      </c>
      <c r="H48" s="11">
        <v>1467.87</v>
      </c>
      <c r="I48" s="11">
        <v>0.0</v>
      </c>
      <c r="J48" s="84"/>
      <c r="K48" s="13"/>
      <c r="L48" s="13" t="s">
        <v>303</v>
      </c>
      <c r="M48" s="33"/>
      <c r="N48" s="33"/>
      <c r="O48" s="34"/>
      <c r="P48" s="33"/>
      <c r="Q48" s="16" t="s">
        <v>304</v>
      </c>
      <c r="R48" s="115" t="s">
        <v>305</v>
      </c>
      <c r="S48" s="16" t="s">
        <v>306</v>
      </c>
      <c r="T48" s="77"/>
      <c r="U48" s="70"/>
      <c r="V48" s="70" t="s">
        <v>91</v>
      </c>
      <c r="W48" s="17" t="b">
        <v>0</v>
      </c>
      <c r="X48" s="18" t="b">
        <v>0</v>
      </c>
    </row>
    <row r="49" ht="22.5" customHeight="1">
      <c r="A49" s="5" t="s">
        <v>308</v>
      </c>
      <c r="B49" s="6" t="s">
        <v>25</v>
      </c>
      <c r="C49" s="76" t="s">
        <v>26</v>
      </c>
      <c r="D49" s="8">
        <v>45649.0</v>
      </c>
      <c r="E49" s="9" t="s">
        <v>27</v>
      </c>
      <c r="F49" s="9" t="s">
        <v>309</v>
      </c>
      <c r="G49" s="10">
        <v>45653.0</v>
      </c>
      <c r="H49" s="11">
        <v>1128.87</v>
      </c>
      <c r="I49" s="11">
        <v>0.0</v>
      </c>
      <c r="J49" s="84"/>
      <c r="M49" s="33"/>
      <c r="N49" s="33"/>
      <c r="O49" s="34"/>
      <c r="P49" s="33"/>
      <c r="Q49" s="16" t="s">
        <v>310</v>
      </c>
      <c r="R49" s="16" t="s">
        <v>311</v>
      </c>
      <c r="S49" s="16" t="s">
        <v>312</v>
      </c>
      <c r="T49" s="116"/>
      <c r="U49" s="9"/>
      <c r="V49" s="9" t="s">
        <v>313</v>
      </c>
      <c r="W49" s="6" t="b">
        <v>0</v>
      </c>
      <c r="X49" s="117" t="b">
        <v>0</v>
      </c>
    </row>
    <row r="50" ht="22.5" customHeight="1">
      <c r="A50" s="67" t="s">
        <v>314</v>
      </c>
      <c r="B50" s="39" t="s">
        <v>25</v>
      </c>
      <c r="C50" s="40" t="s">
        <v>26</v>
      </c>
      <c r="D50" s="41">
        <v>45659.0</v>
      </c>
      <c r="E50" s="42" t="s">
        <v>27</v>
      </c>
      <c r="F50" s="42" t="s">
        <v>315</v>
      </c>
      <c r="G50" s="43">
        <v>45961.0</v>
      </c>
      <c r="H50" s="44">
        <v>1354.87</v>
      </c>
      <c r="I50" s="44">
        <v>0.0</v>
      </c>
      <c r="J50" s="45" t="s">
        <v>115</v>
      </c>
      <c r="K50" s="79"/>
      <c r="L50" s="79"/>
      <c r="M50" s="45" t="s">
        <v>62</v>
      </c>
      <c r="N50" s="45" t="s">
        <v>63</v>
      </c>
      <c r="O50" s="80"/>
      <c r="P50" s="45" t="s">
        <v>52</v>
      </c>
      <c r="Q50" s="46" t="s">
        <v>316</v>
      </c>
      <c r="R50" s="46" t="s">
        <v>317</v>
      </c>
      <c r="S50" s="46" t="s">
        <v>318</v>
      </c>
      <c r="T50" s="82"/>
      <c r="U50" s="68"/>
      <c r="V50" s="68" t="s">
        <v>91</v>
      </c>
      <c r="W50" s="48" t="s">
        <v>101</v>
      </c>
      <c r="X50" s="49" t="b">
        <v>1</v>
      </c>
    </row>
    <row r="51" ht="22.5" customHeight="1">
      <c r="A51" s="118" t="s">
        <v>319</v>
      </c>
      <c r="B51" s="119" t="s">
        <v>25</v>
      </c>
      <c r="C51" s="120" t="s">
        <v>26</v>
      </c>
      <c r="D51" s="121">
        <v>45686.0</v>
      </c>
      <c r="E51" s="122" t="s">
        <v>27</v>
      </c>
      <c r="F51" s="122" t="s">
        <v>320</v>
      </c>
      <c r="G51" s="123">
        <v>45686.0</v>
      </c>
      <c r="H51" s="124">
        <v>1219.27</v>
      </c>
      <c r="I51" s="124">
        <v>0.0</v>
      </c>
      <c r="J51" s="125" t="s">
        <v>115</v>
      </c>
      <c r="K51" s="126"/>
      <c r="L51" s="126"/>
      <c r="M51" s="125" t="s">
        <v>96</v>
      </c>
      <c r="N51" s="125" t="s">
        <v>32</v>
      </c>
      <c r="O51" s="127"/>
      <c r="P51" s="125" t="s">
        <v>33</v>
      </c>
      <c r="Q51" s="128" t="s">
        <v>321</v>
      </c>
      <c r="R51" s="128" t="s">
        <v>322</v>
      </c>
      <c r="S51" s="128" t="s">
        <v>323</v>
      </c>
      <c r="T51" s="129"/>
      <c r="U51" s="130"/>
      <c r="V51" s="130" t="s">
        <v>91</v>
      </c>
      <c r="W51" s="131" t="b">
        <v>0</v>
      </c>
      <c r="X51" s="132" t="b">
        <v>1</v>
      </c>
    </row>
    <row r="52" ht="22.5" customHeight="1">
      <c r="A52" s="133" t="s">
        <v>324</v>
      </c>
      <c r="B52" s="20" t="s">
        <v>25</v>
      </c>
      <c r="C52" s="21" t="s">
        <v>26</v>
      </c>
      <c r="D52" s="134">
        <v>45840.0</v>
      </c>
      <c r="E52" s="23" t="s">
        <v>27</v>
      </c>
      <c r="F52" s="27" t="s">
        <v>133</v>
      </c>
      <c r="G52" s="134">
        <v>45840.0</v>
      </c>
      <c r="H52" s="135">
        <v>1467.87</v>
      </c>
      <c r="I52" s="135">
        <v>0.0</v>
      </c>
      <c r="J52" s="26" t="s">
        <v>94</v>
      </c>
      <c r="K52" s="27">
        <v>1.0</v>
      </c>
      <c r="L52" s="71"/>
      <c r="M52" s="26" t="s">
        <v>262</v>
      </c>
      <c r="N52" s="26" t="s">
        <v>325</v>
      </c>
      <c r="O52" s="72"/>
      <c r="P52" s="26" t="s">
        <v>52</v>
      </c>
      <c r="Q52" s="27" t="s">
        <v>326</v>
      </c>
      <c r="R52" s="27" t="s">
        <v>327</v>
      </c>
      <c r="S52" s="27" t="s">
        <v>328</v>
      </c>
      <c r="T52" s="30" t="s">
        <v>56</v>
      </c>
      <c r="U52" s="75"/>
      <c r="V52" s="21" t="s">
        <v>329</v>
      </c>
      <c r="W52" s="30" t="b">
        <v>0</v>
      </c>
      <c r="X52" s="31" t="b">
        <v>0</v>
      </c>
    </row>
    <row r="53" ht="22.5" customHeight="1">
      <c r="A53" s="5" t="s">
        <v>330</v>
      </c>
      <c r="B53" s="6" t="s">
        <v>331</v>
      </c>
      <c r="C53" s="7" t="s">
        <v>26</v>
      </c>
      <c r="D53" s="8">
        <v>45199.0</v>
      </c>
      <c r="E53" s="9" t="s">
        <v>27</v>
      </c>
      <c r="F53" s="9" t="s">
        <v>332</v>
      </c>
      <c r="G53" s="10">
        <v>45945.0</v>
      </c>
      <c r="H53" s="11">
        <v>86.45</v>
      </c>
      <c r="I53" s="11">
        <v>86.45</v>
      </c>
      <c r="J53" s="84"/>
      <c r="M53" s="33"/>
      <c r="N53" s="33"/>
      <c r="O53" s="34"/>
      <c r="P53" s="33"/>
      <c r="Q53" s="85" t="s">
        <v>128</v>
      </c>
      <c r="R53" s="16" t="s">
        <v>333</v>
      </c>
      <c r="S53" s="16" t="s">
        <v>334</v>
      </c>
      <c r="T53" s="77"/>
      <c r="U53" s="70"/>
      <c r="V53" s="70" t="s">
        <v>91</v>
      </c>
      <c r="W53" s="17" t="b">
        <v>0</v>
      </c>
      <c r="X53" s="18" t="b">
        <v>0</v>
      </c>
    </row>
    <row r="54" ht="22.5" customHeight="1">
      <c r="A54" s="5" t="s">
        <v>335</v>
      </c>
      <c r="B54" s="6" t="s">
        <v>25</v>
      </c>
      <c r="C54" s="7" t="s">
        <v>336</v>
      </c>
      <c r="D54" s="8">
        <v>45123.0</v>
      </c>
      <c r="E54" s="9" t="s">
        <v>27</v>
      </c>
      <c r="F54" s="9" t="s">
        <v>337</v>
      </c>
      <c r="G54" s="10">
        <v>45898.0</v>
      </c>
      <c r="H54" s="11">
        <v>358.8</v>
      </c>
      <c r="I54" s="69">
        <v>0.0</v>
      </c>
      <c r="J54" s="84"/>
      <c r="M54" s="33"/>
      <c r="N54" s="33"/>
      <c r="O54" s="34"/>
      <c r="P54" s="33"/>
      <c r="Q54" s="13" t="s">
        <v>338</v>
      </c>
      <c r="R54" s="16" t="s">
        <v>339</v>
      </c>
      <c r="S54" s="16" t="s">
        <v>26</v>
      </c>
      <c r="T54" s="77"/>
      <c r="U54" s="70"/>
      <c r="W54" s="17" t="s">
        <v>57</v>
      </c>
      <c r="X54" s="18" t="b">
        <v>0</v>
      </c>
    </row>
    <row r="55" ht="22.5" customHeight="1">
      <c r="A55" s="5" t="s">
        <v>340</v>
      </c>
      <c r="B55" s="6" t="s">
        <v>331</v>
      </c>
      <c r="C55" s="7" t="s">
        <v>26</v>
      </c>
      <c r="D55" s="8">
        <v>45097.0</v>
      </c>
      <c r="E55" s="9" t="s">
        <v>27</v>
      </c>
      <c r="F55" s="9" t="s">
        <v>341</v>
      </c>
      <c r="G55" s="10">
        <v>45930.0</v>
      </c>
      <c r="H55" s="11">
        <v>375.72</v>
      </c>
      <c r="I55" s="11">
        <v>375.72</v>
      </c>
      <c r="J55" s="84"/>
      <c r="M55" s="33"/>
      <c r="N55" s="33"/>
      <c r="O55" s="34"/>
      <c r="P55" s="136" t="s">
        <v>52</v>
      </c>
      <c r="Q55" s="86" t="s">
        <v>133</v>
      </c>
      <c r="R55" s="16" t="s">
        <v>342</v>
      </c>
      <c r="S55" s="16" t="s">
        <v>343</v>
      </c>
      <c r="T55" s="17" t="s">
        <v>48</v>
      </c>
      <c r="U55" s="89" t="s">
        <v>344</v>
      </c>
      <c r="V55" s="70" t="s">
        <v>91</v>
      </c>
      <c r="W55" s="17" t="s">
        <v>57</v>
      </c>
      <c r="X55" s="18" t="b">
        <v>1</v>
      </c>
    </row>
    <row r="56" ht="22.5" customHeight="1">
      <c r="A56" s="5" t="s">
        <v>345</v>
      </c>
      <c r="B56" s="116"/>
      <c r="C56" s="7" t="s">
        <v>346</v>
      </c>
      <c r="D56" s="8">
        <v>45076.0</v>
      </c>
      <c r="E56" s="9" t="s">
        <v>27</v>
      </c>
      <c r="F56" s="9" t="s">
        <v>347</v>
      </c>
      <c r="G56" s="10">
        <v>45900.0</v>
      </c>
      <c r="H56" s="11">
        <v>429.4</v>
      </c>
      <c r="I56" s="11">
        <v>429.4</v>
      </c>
      <c r="J56" s="84"/>
      <c r="K56" s="13">
        <v>1.0</v>
      </c>
      <c r="M56" s="33"/>
      <c r="N56" s="33"/>
      <c r="O56" s="34"/>
      <c r="P56" s="137"/>
      <c r="Q56" s="13" t="s">
        <v>348</v>
      </c>
      <c r="R56" s="13" t="s">
        <v>349</v>
      </c>
      <c r="S56" s="16" t="s">
        <v>350</v>
      </c>
      <c r="T56" s="17" t="s">
        <v>48</v>
      </c>
      <c r="U56" s="7" t="s">
        <v>345</v>
      </c>
      <c r="V56" s="7" t="s">
        <v>351</v>
      </c>
      <c r="W56" s="17" t="s">
        <v>57</v>
      </c>
      <c r="X56" s="18" t="b">
        <v>0</v>
      </c>
    </row>
    <row r="57" ht="22.5" customHeight="1">
      <c r="A57" s="5" t="s">
        <v>352</v>
      </c>
      <c r="B57" s="116"/>
      <c r="C57" s="7" t="s">
        <v>26</v>
      </c>
      <c r="D57" s="8">
        <v>45083.0</v>
      </c>
      <c r="E57" s="9" t="s">
        <v>27</v>
      </c>
      <c r="F57" s="9" t="s">
        <v>353</v>
      </c>
      <c r="G57" s="10">
        <v>45792.0</v>
      </c>
      <c r="H57" s="11">
        <v>429.4</v>
      </c>
      <c r="I57" s="11">
        <v>429.4</v>
      </c>
      <c r="J57" s="12" t="s">
        <v>29</v>
      </c>
      <c r="K57" s="13">
        <v>1.0</v>
      </c>
      <c r="L57" s="13" t="s">
        <v>354</v>
      </c>
      <c r="M57" s="136" t="s">
        <v>62</v>
      </c>
      <c r="N57" s="136" t="s">
        <v>355</v>
      </c>
      <c r="O57" s="15">
        <v>45804.0</v>
      </c>
      <c r="P57" s="14" t="s">
        <v>33</v>
      </c>
      <c r="Q57" s="16" t="s">
        <v>356</v>
      </c>
      <c r="R57" s="16" t="s">
        <v>357</v>
      </c>
      <c r="S57" s="16" t="s">
        <v>358</v>
      </c>
      <c r="T57" s="17" t="s">
        <v>48</v>
      </c>
      <c r="U57" s="7" t="s">
        <v>359</v>
      </c>
      <c r="V57" s="70" t="s">
        <v>91</v>
      </c>
      <c r="W57" s="17" t="b">
        <v>0</v>
      </c>
      <c r="X57" s="18" t="b">
        <v>0</v>
      </c>
    </row>
    <row r="58" ht="22.5" customHeight="1">
      <c r="A58" s="138" t="s">
        <v>360</v>
      </c>
      <c r="B58" s="139"/>
      <c r="C58" s="140" t="s">
        <v>26</v>
      </c>
      <c r="D58" s="141">
        <v>45530.0</v>
      </c>
      <c r="E58" s="142" t="s">
        <v>27</v>
      </c>
      <c r="F58" s="142" t="s">
        <v>361</v>
      </c>
      <c r="G58" s="143">
        <v>45930.0</v>
      </c>
      <c r="H58" s="144">
        <v>517.0</v>
      </c>
      <c r="I58" s="144">
        <v>517.0</v>
      </c>
      <c r="J58" s="145" t="s">
        <v>362</v>
      </c>
      <c r="K58" s="146"/>
      <c r="L58" s="146"/>
      <c r="M58" s="147"/>
      <c r="N58" s="147"/>
      <c r="O58" s="148"/>
      <c r="P58" s="145" t="s">
        <v>71</v>
      </c>
      <c r="Q58" s="149" t="s">
        <v>363</v>
      </c>
      <c r="R58" s="149" t="s">
        <v>364</v>
      </c>
      <c r="S58" s="149" t="s">
        <v>365</v>
      </c>
      <c r="T58" s="150" t="s">
        <v>56</v>
      </c>
      <c r="U58" s="151"/>
      <c r="V58" s="140" t="s">
        <v>366</v>
      </c>
      <c r="W58" s="150" t="s">
        <v>181</v>
      </c>
      <c r="X58" s="152" t="b">
        <v>0</v>
      </c>
    </row>
    <row r="59" ht="22.5" customHeight="1">
      <c r="A59" s="5" t="s">
        <v>367</v>
      </c>
      <c r="B59" s="6" t="s">
        <v>25</v>
      </c>
      <c r="C59" s="7" t="s">
        <v>26</v>
      </c>
      <c r="D59" s="8">
        <v>45157.0</v>
      </c>
      <c r="E59" s="9" t="s">
        <v>27</v>
      </c>
      <c r="F59" s="9" t="s">
        <v>368</v>
      </c>
      <c r="G59" s="10">
        <v>45930.0</v>
      </c>
      <c r="H59" s="11">
        <v>551.45</v>
      </c>
      <c r="I59" s="69">
        <v>0.0</v>
      </c>
      <c r="J59" s="84"/>
      <c r="M59" s="33"/>
      <c r="N59" s="33"/>
      <c r="O59" s="34"/>
      <c r="P59" s="14" t="s">
        <v>52</v>
      </c>
      <c r="Q59" s="13" t="s">
        <v>369</v>
      </c>
      <c r="R59" s="16" t="s">
        <v>370</v>
      </c>
      <c r="S59" s="16" t="s">
        <v>371</v>
      </c>
      <c r="T59" s="17" t="s">
        <v>56</v>
      </c>
      <c r="U59" s="153"/>
      <c r="V59" s="70" t="s">
        <v>91</v>
      </c>
      <c r="W59" s="17" t="s">
        <v>112</v>
      </c>
      <c r="X59" s="18" t="b">
        <v>1</v>
      </c>
      <c r="Y59" s="65"/>
      <c r="Z59" s="65"/>
      <c r="AA59" s="65"/>
      <c r="AB59" s="65"/>
      <c r="AC59" s="65"/>
      <c r="AD59" s="65"/>
      <c r="AE59" s="65"/>
    </row>
    <row r="60" ht="22.5" customHeight="1">
      <c r="A60" s="50" t="s">
        <v>372</v>
      </c>
      <c r="B60" s="6" t="s">
        <v>331</v>
      </c>
      <c r="C60" s="7" t="s">
        <v>26</v>
      </c>
      <c r="D60" s="8">
        <v>45161.0</v>
      </c>
      <c r="E60" s="9" t="s">
        <v>27</v>
      </c>
      <c r="F60" s="9" t="s">
        <v>373</v>
      </c>
      <c r="G60" s="10">
        <v>45930.0</v>
      </c>
      <c r="H60" s="11">
        <v>551.45</v>
      </c>
      <c r="I60" s="11">
        <v>551.45</v>
      </c>
      <c r="J60" s="84"/>
      <c r="M60" s="33"/>
      <c r="N60" s="33"/>
      <c r="O60" s="34"/>
      <c r="P60" s="61" t="s">
        <v>52</v>
      </c>
      <c r="Q60" s="58" t="s">
        <v>374</v>
      </c>
      <c r="R60" s="16" t="s">
        <v>375</v>
      </c>
      <c r="S60" s="16" t="s">
        <v>376</v>
      </c>
      <c r="T60" s="17" t="s">
        <v>229</v>
      </c>
      <c r="U60" s="154"/>
      <c r="V60" s="70" t="s">
        <v>91</v>
      </c>
      <c r="W60" s="17" t="s">
        <v>112</v>
      </c>
      <c r="X60" s="18" t="b">
        <v>1</v>
      </c>
    </row>
    <row r="61" ht="22.5" customHeight="1">
      <c r="A61" s="5" t="s">
        <v>377</v>
      </c>
      <c r="B61" s="6" t="s">
        <v>25</v>
      </c>
      <c r="C61" s="7" t="s">
        <v>26</v>
      </c>
      <c r="D61" s="8">
        <v>45163.0</v>
      </c>
      <c r="E61" s="9" t="s">
        <v>27</v>
      </c>
      <c r="F61" s="9" t="s">
        <v>378</v>
      </c>
      <c r="G61" s="10">
        <v>45930.0</v>
      </c>
      <c r="H61" s="11">
        <v>551.45</v>
      </c>
      <c r="I61" s="69">
        <v>0.0</v>
      </c>
      <c r="J61" s="84"/>
      <c r="M61" s="33"/>
      <c r="N61" s="33"/>
      <c r="O61" s="34"/>
      <c r="P61" s="61" t="s">
        <v>52</v>
      </c>
      <c r="Q61" s="13" t="s">
        <v>379</v>
      </c>
      <c r="R61" s="16" t="s">
        <v>380</v>
      </c>
      <c r="S61" s="16" t="s">
        <v>381</v>
      </c>
      <c r="T61" s="17" t="s">
        <v>229</v>
      </c>
      <c r="U61" s="154"/>
      <c r="V61" s="70" t="s">
        <v>91</v>
      </c>
      <c r="W61" s="17" t="s">
        <v>112</v>
      </c>
      <c r="X61" s="18" t="b">
        <v>1</v>
      </c>
    </row>
    <row r="62" ht="22.5" customHeight="1">
      <c r="A62" s="5" t="s">
        <v>382</v>
      </c>
      <c r="B62" s="6" t="s">
        <v>25</v>
      </c>
      <c r="C62" s="7" t="s">
        <v>26</v>
      </c>
      <c r="D62" s="8">
        <v>45171.0</v>
      </c>
      <c r="E62" s="9" t="s">
        <v>27</v>
      </c>
      <c r="F62" s="9" t="s">
        <v>383</v>
      </c>
      <c r="G62" s="10">
        <v>45930.0</v>
      </c>
      <c r="H62" s="11">
        <v>551.45</v>
      </c>
      <c r="I62" s="69">
        <v>0.0</v>
      </c>
      <c r="J62" s="84"/>
      <c r="M62" s="33"/>
      <c r="N62" s="33"/>
      <c r="O62" s="34"/>
      <c r="P62" s="14" t="s">
        <v>52</v>
      </c>
      <c r="Q62" s="58" t="s">
        <v>384</v>
      </c>
      <c r="R62" s="16" t="s">
        <v>385</v>
      </c>
      <c r="S62" s="16" t="s">
        <v>386</v>
      </c>
      <c r="T62" s="17" t="s">
        <v>56</v>
      </c>
      <c r="U62" s="87"/>
      <c r="V62" s="70" t="s">
        <v>91</v>
      </c>
      <c r="W62" s="17" t="s">
        <v>57</v>
      </c>
      <c r="X62" s="18" t="b">
        <v>1</v>
      </c>
    </row>
    <row r="63" ht="22.5" customHeight="1">
      <c r="A63" s="5" t="s">
        <v>387</v>
      </c>
      <c r="B63" s="116"/>
      <c r="C63" s="7" t="s">
        <v>26</v>
      </c>
      <c r="D63" s="8">
        <v>45173.0</v>
      </c>
      <c r="E63" s="9" t="s">
        <v>27</v>
      </c>
      <c r="F63" s="9" t="s">
        <v>388</v>
      </c>
      <c r="G63" s="10">
        <v>45657.0</v>
      </c>
      <c r="H63" s="11">
        <v>551.45</v>
      </c>
      <c r="I63" s="69">
        <v>551.45</v>
      </c>
      <c r="J63" s="12" t="s">
        <v>389</v>
      </c>
      <c r="M63" s="33"/>
      <c r="N63" s="33"/>
      <c r="O63" s="34"/>
      <c r="P63" s="14" t="s">
        <v>71</v>
      </c>
      <c r="Q63" s="13" t="s">
        <v>390</v>
      </c>
      <c r="R63" s="16" t="s">
        <v>391</v>
      </c>
      <c r="S63" s="16" t="s">
        <v>392</v>
      </c>
      <c r="T63" s="17" t="s">
        <v>48</v>
      </c>
      <c r="U63" s="52" t="s">
        <v>387</v>
      </c>
      <c r="V63" s="7" t="s">
        <v>393</v>
      </c>
      <c r="W63" s="17" t="s">
        <v>181</v>
      </c>
      <c r="X63" s="18" t="b">
        <v>0</v>
      </c>
    </row>
    <row r="64" ht="22.5" customHeight="1">
      <c r="A64" s="5" t="s">
        <v>394</v>
      </c>
      <c r="B64" s="116"/>
      <c r="C64" s="7" t="s">
        <v>26</v>
      </c>
      <c r="D64" s="8">
        <v>45209.0</v>
      </c>
      <c r="E64" s="9" t="s">
        <v>27</v>
      </c>
      <c r="F64" s="9" t="s">
        <v>395</v>
      </c>
      <c r="G64" s="10">
        <v>45930.0</v>
      </c>
      <c r="H64" s="11">
        <v>551.45</v>
      </c>
      <c r="I64" s="11">
        <v>551.45</v>
      </c>
      <c r="J64" s="84"/>
      <c r="M64" s="33"/>
      <c r="N64" s="33"/>
      <c r="O64" s="34"/>
      <c r="P64" s="14" t="s">
        <v>71</v>
      </c>
      <c r="Q64" s="108"/>
      <c r="R64" s="16" t="s">
        <v>396</v>
      </c>
      <c r="S64" s="16" t="s">
        <v>397</v>
      </c>
      <c r="T64" s="17" t="s">
        <v>56</v>
      </c>
      <c r="U64" s="87"/>
      <c r="V64" s="7" t="s">
        <v>398</v>
      </c>
      <c r="W64" s="17" t="s">
        <v>181</v>
      </c>
      <c r="X64" s="18" t="b">
        <v>0</v>
      </c>
    </row>
    <row r="65" ht="22.5" customHeight="1">
      <c r="A65" s="5" t="s">
        <v>399</v>
      </c>
      <c r="B65" s="6" t="s">
        <v>331</v>
      </c>
      <c r="C65" s="7" t="s">
        <v>26</v>
      </c>
      <c r="D65" s="8">
        <v>45176.0</v>
      </c>
      <c r="E65" s="9" t="s">
        <v>27</v>
      </c>
      <c r="F65" s="9" t="s">
        <v>400</v>
      </c>
      <c r="G65" s="10">
        <v>45945.0</v>
      </c>
      <c r="H65" s="11">
        <v>658.8</v>
      </c>
      <c r="I65" s="11">
        <v>658.8</v>
      </c>
      <c r="J65" s="84"/>
      <c r="M65" s="33"/>
      <c r="N65" s="33"/>
      <c r="O65" s="34"/>
      <c r="P65" s="33"/>
      <c r="Q65" s="108"/>
      <c r="R65" s="16" t="s">
        <v>401</v>
      </c>
      <c r="S65" s="16" t="s">
        <v>402</v>
      </c>
      <c r="T65" s="77"/>
      <c r="U65" s="70"/>
      <c r="V65" s="70" t="s">
        <v>91</v>
      </c>
      <c r="W65" s="17" t="b">
        <v>0</v>
      </c>
      <c r="X65" s="18" t="b">
        <v>0</v>
      </c>
      <c r="Y65" s="65"/>
      <c r="Z65" s="65"/>
      <c r="AA65" s="65"/>
      <c r="AB65" s="65"/>
      <c r="AC65" s="65"/>
      <c r="AD65" s="65"/>
      <c r="AE65" s="65"/>
    </row>
    <row r="66" ht="22.5" customHeight="1">
      <c r="A66" s="5" t="s">
        <v>403</v>
      </c>
      <c r="B66" s="6" t="s">
        <v>25</v>
      </c>
      <c r="C66" s="7" t="s">
        <v>26</v>
      </c>
      <c r="D66" s="8">
        <v>45361.0</v>
      </c>
      <c r="E66" s="9" t="s">
        <v>27</v>
      </c>
      <c r="F66" s="9" t="s">
        <v>404</v>
      </c>
      <c r="G66" s="10">
        <v>45930.0</v>
      </c>
      <c r="H66" s="11">
        <v>715.3</v>
      </c>
      <c r="I66" s="69">
        <v>0.0</v>
      </c>
      <c r="J66" s="84"/>
      <c r="M66" s="33"/>
      <c r="N66" s="33"/>
      <c r="O66" s="34"/>
      <c r="P66" s="14" t="s">
        <v>52</v>
      </c>
      <c r="Q66" s="16" t="s">
        <v>405</v>
      </c>
      <c r="R66" s="16" t="s">
        <v>406</v>
      </c>
      <c r="S66" s="16" t="s">
        <v>407</v>
      </c>
      <c r="T66" s="77"/>
      <c r="U66" s="70"/>
      <c r="V66" s="70" t="s">
        <v>91</v>
      </c>
      <c r="W66" s="17" t="s">
        <v>152</v>
      </c>
      <c r="X66" s="18" t="b">
        <v>1</v>
      </c>
    </row>
    <row r="67" ht="22.5" customHeight="1">
      <c r="A67" s="5" t="s">
        <v>408</v>
      </c>
      <c r="B67" s="6" t="s">
        <v>331</v>
      </c>
      <c r="C67" s="7" t="s">
        <v>26</v>
      </c>
      <c r="D67" s="8">
        <v>45152.0</v>
      </c>
      <c r="E67" s="9" t="s">
        <v>27</v>
      </c>
      <c r="F67" s="9" t="s">
        <v>409</v>
      </c>
      <c r="G67" s="10">
        <v>45182.0</v>
      </c>
      <c r="H67" s="11">
        <v>858.8</v>
      </c>
      <c r="I67" s="11">
        <v>858.8</v>
      </c>
      <c r="J67" s="84"/>
      <c r="M67" s="33"/>
      <c r="N67" s="33"/>
      <c r="O67" s="34"/>
      <c r="P67" s="33"/>
      <c r="Q67" s="85" t="s">
        <v>128</v>
      </c>
      <c r="R67" s="16" t="s">
        <v>410</v>
      </c>
      <c r="S67" s="155" t="s">
        <v>411</v>
      </c>
      <c r="T67" s="77"/>
      <c r="U67" s="70"/>
      <c r="V67" s="70" t="s">
        <v>91</v>
      </c>
      <c r="W67" s="17" t="b">
        <v>0</v>
      </c>
      <c r="X67" s="18" t="b">
        <v>0</v>
      </c>
      <c r="Y67" s="65"/>
      <c r="Z67" s="65"/>
      <c r="AA67" s="65"/>
      <c r="AB67" s="65"/>
      <c r="AC67" s="65"/>
      <c r="AD67" s="65"/>
      <c r="AE67" s="65"/>
    </row>
    <row r="68" ht="22.5" customHeight="1">
      <c r="A68" s="5" t="s">
        <v>412</v>
      </c>
      <c r="B68" s="6" t="s">
        <v>25</v>
      </c>
      <c r="C68" s="7" t="s">
        <v>26</v>
      </c>
      <c r="D68" s="8">
        <v>45361.0</v>
      </c>
      <c r="E68" s="9" t="s">
        <v>27</v>
      </c>
      <c r="F68" s="9" t="s">
        <v>413</v>
      </c>
      <c r="G68" s="10">
        <v>45930.0</v>
      </c>
      <c r="H68" s="11">
        <v>867.85</v>
      </c>
      <c r="I68" s="11">
        <v>867.85</v>
      </c>
      <c r="J68" s="84"/>
      <c r="M68" s="33"/>
      <c r="N68" s="33"/>
      <c r="O68" s="34"/>
      <c r="P68" s="14" t="s">
        <v>52</v>
      </c>
      <c r="Q68" s="16" t="s">
        <v>414</v>
      </c>
      <c r="R68" s="16" t="s">
        <v>415</v>
      </c>
      <c r="S68" s="16" t="s">
        <v>416</v>
      </c>
      <c r="T68" s="17" t="s">
        <v>56</v>
      </c>
      <c r="U68" s="87"/>
      <c r="V68" s="70" t="s">
        <v>91</v>
      </c>
      <c r="W68" s="17" t="s">
        <v>112</v>
      </c>
      <c r="X68" s="18" t="b">
        <v>1</v>
      </c>
    </row>
    <row r="69" ht="22.5" customHeight="1">
      <c r="A69" s="5" t="s">
        <v>417</v>
      </c>
      <c r="B69" s="116"/>
      <c r="C69" s="7" t="s">
        <v>418</v>
      </c>
      <c r="D69" s="8">
        <v>45362.0</v>
      </c>
      <c r="E69" s="9" t="s">
        <v>27</v>
      </c>
      <c r="F69" s="9" t="s">
        <v>419</v>
      </c>
      <c r="G69" s="10">
        <v>45930.0</v>
      </c>
      <c r="H69" s="11">
        <v>867.85</v>
      </c>
      <c r="I69" s="11">
        <v>867.85</v>
      </c>
      <c r="J69" s="84"/>
      <c r="M69" s="33"/>
      <c r="N69" s="33"/>
      <c r="O69" s="34"/>
      <c r="P69" s="33"/>
      <c r="Q69" s="16" t="s">
        <v>420</v>
      </c>
      <c r="R69" s="16" t="s">
        <v>421</v>
      </c>
      <c r="S69" s="16" t="s">
        <v>422</v>
      </c>
      <c r="T69" s="77"/>
      <c r="U69" s="70"/>
      <c r="V69" s="70" t="s">
        <v>91</v>
      </c>
      <c r="W69" s="17" t="b">
        <v>0</v>
      </c>
      <c r="X69" s="18" t="b">
        <v>1</v>
      </c>
    </row>
    <row r="70" ht="22.5" customHeight="1">
      <c r="A70" s="5" t="s">
        <v>423</v>
      </c>
      <c r="B70" s="6" t="s">
        <v>25</v>
      </c>
      <c r="C70" s="7" t="s">
        <v>26</v>
      </c>
      <c r="D70" s="8">
        <v>45365.0</v>
      </c>
      <c r="E70" s="9" t="s">
        <v>27</v>
      </c>
      <c r="F70" s="9" t="s">
        <v>424</v>
      </c>
      <c r="G70" s="10">
        <v>45930.0</v>
      </c>
      <c r="H70" s="11">
        <v>867.85</v>
      </c>
      <c r="I70" s="69">
        <v>0.0</v>
      </c>
      <c r="J70" s="84"/>
      <c r="M70" s="33"/>
      <c r="N70" s="33"/>
      <c r="O70" s="34"/>
      <c r="P70" s="33"/>
      <c r="Q70" s="16" t="s">
        <v>425</v>
      </c>
      <c r="R70" s="16" t="s">
        <v>426</v>
      </c>
      <c r="S70" s="16" t="s">
        <v>427</v>
      </c>
      <c r="T70" s="77"/>
      <c r="U70" s="70"/>
      <c r="V70" s="70" t="s">
        <v>91</v>
      </c>
      <c r="W70" s="17" t="b">
        <v>0</v>
      </c>
      <c r="X70" s="18" t="b">
        <v>1</v>
      </c>
    </row>
    <row r="71" ht="22.5" customHeight="1">
      <c r="A71" s="5" t="s">
        <v>428</v>
      </c>
      <c r="B71" s="6" t="s">
        <v>25</v>
      </c>
      <c r="C71" s="7" t="s">
        <v>26</v>
      </c>
      <c r="D71" s="8">
        <v>45366.0</v>
      </c>
      <c r="E71" s="9" t="s">
        <v>27</v>
      </c>
      <c r="F71" s="9" t="s">
        <v>429</v>
      </c>
      <c r="G71" s="10">
        <v>45930.0</v>
      </c>
      <c r="H71" s="11">
        <v>867.85</v>
      </c>
      <c r="I71" s="69">
        <v>0.0</v>
      </c>
      <c r="J71" s="84"/>
      <c r="M71" s="33"/>
      <c r="N71" s="33"/>
      <c r="O71" s="34"/>
      <c r="P71" s="14" t="s">
        <v>33</v>
      </c>
      <c r="Q71" s="16" t="s">
        <v>430</v>
      </c>
      <c r="R71" s="16" t="s">
        <v>431</v>
      </c>
      <c r="S71" s="16" t="s">
        <v>432</v>
      </c>
      <c r="T71" s="77"/>
      <c r="U71" s="70"/>
      <c r="V71" s="70" t="s">
        <v>91</v>
      </c>
      <c r="W71" s="17" t="b">
        <v>0</v>
      </c>
      <c r="X71" s="18" t="b">
        <v>1</v>
      </c>
    </row>
    <row r="72" ht="22.5" customHeight="1">
      <c r="A72" s="76" t="s">
        <v>433</v>
      </c>
      <c r="B72" s="6" t="s">
        <v>434</v>
      </c>
      <c r="C72" s="7" t="s">
        <v>26</v>
      </c>
      <c r="D72" s="8">
        <v>45366.0</v>
      </c>
      <c r="E72" s="9" t="s">
        <v>27</v>
      </c>
      <c r="F72" s="9" t="s">
        <v>435</v>
      </c>
      <c r="G72" s="10">
        <v>45930.0</v>
      </c>
      <c r="H72" s="11">
        <v>867.85</v>
      </c>
      <c r="I72" s="11">
        <v>867.85</v>
      </c>
      <c r="J72" s="84"/>
      <c r="M72" s="14" t="s">
        <v>31</v>
      </c>
      <c r="N72" s="33"/>
      <c r="O72" s="34"/>
      <c r="P72" s="14" t="s">
        <v>71</v>
      </c>
      <c r="Q72" s="16" t="s">
        <v>436</v>
      </c>
      <c r="R72" s="86" t="s">
        <v>133</v>
      </c>
      <c r="S72" s="16" t="s">
        <v>437</v>
      </c>
      <c r="T72" s="17" t="s">
        <v>56</v>
      </c>
      <c r="U72" s="87"/>
      <c r="V72" s="7" t="s">
        <v>362</v>
      </c>
      <c r="W72" s="17" t="s">
        <v>181</v>
      </c>
      <c r="X72" s="18" t="b">
        <v>0</v>
      </c>
    </row>
    <row r="73" ht="22.5" customHeight="1">
      <c r="A73" s="5" t="s">
        <v>438</v>
      </c>
      <c r="B73" s="6" t="s">
        <v>331</v>
      </c>
      <c r="C73" s="7" t="s">
        <v>26</v>
      </c>
      <c r="D73" s="8">
        <v>45367.0</v>
      </c>
      <c r="E73" s="9" t="s">
        <v>27</v>
      </c>
      <c r="F73" s="9" t="s">
        <v>439</v>
      </c>
      <c r="G73" s="10">
        <v>45930.0</v>
      </c>
      <c r="H73" s="11">
        <v>867.85</v>
      </c>
      <c r="I73" s="11">
        <v>867.85</v>
      </c>
      <c r="J73" s="84"/>
      <c r="M73" s="33"/>
      <c r="N73" s="33"/>
      <c r="O73" s="34"/>
      <c r="P73" s="14" t="s">
        <v>52</v>
      </c>
      <c r="Q73" s="16" t="s">
        <v>440</v>
      </c>
      <c r="R73" s="16" t="s">
        <v>441</v>
      </c>
      <c r="S73" s="16" t="s">
        <v>442</v>
      </c>
      <c r="T73" s="17" t="s">
        <v>56</v>
      </c>
      <c r="U73" s="87"/>
      <c r="V73" s="70" t="s">
        <v>91</v>
      </c>
      <c r="W73" s="17" t="s">
        <v>152</v>
      </c>
      <c r="X73" s="18" t="b">
        <v>1</v>
      </c>
      <c r="Y73" s="156"/>
      <c r="Z73" s="156"/>
      <c r="AA73" s="156"/>
      <c r="AB73" s="156"/>
      <c r="AC73" s="156"/>
      <c r="AD73" s="156"/>
      <c r="AE73" s="156"/>
    </row>
    <row r="74" ht="22.5" customHeight="1">
      <c r="A74" s="76" t="s">
        <v>443</v>
      </c>
      <c r="B74" s="6" t="s">
        <v>25</v>
      </c>
      <c r="C74" s="7" t="s">
        <v>26</v>
      </c>
      <c r="D74" s="8">
        <v>45367.0</v>
      </c>
      <c r="E74" s="9" t="s">
        <v>27</v>
      </c>
      <c r="F74" s="9" t="s">
        <v>444</v>
      </c>
      <c r="G74" s="10">
        <v>45930.0</v>
      </c>
      <c r="H74" s="11">
        <v>867.85</v>
      </c>
      <c r="I74" s="69">
        <v>0.0</v>
      </c>
      <c r="J74" s="84"/>
      <c r="M74" s="33"/>
      <c r="N74" s="33"/>
      <c r="O74" s="34"/>
      <c r="P74" s="14" t="s">
        <v>33</v>
      </c>
      <c r="Q74" s="16" t="s">
        <v>445</v>
      </c>
      <c r="R74" s="16" t="s">
        <v>446</v>
      </c>
      <c r="S74" s="16" t="s">
        <v>447</v>
      </c>
      <c r="T74" s="77"/>
      <c r="U74" s="70"/>
      <c r="V74" s="70" t="s">
        <v>91</v>
      </c>
      <c r="W74" s="17" t="s">
        <v>57</v>
      </c>
      <c r="X74" s="18" t="b">
        <v>1</v>
      </c>
    </row>
    <row r="75" ht="22.5" customHeight="1">
      <c r="A75" s="50" t="s">
        <v>448</v>
      </c>
      <c r="B75" s="6" t="s">
        <v>25</v>
      </c>
      <c r="C75" s="7" t="s">
        <v>26</v>
      </c>
      <c r="D75" s="8">
        <v>45367.0</v>
      </c>
      <c r="E75" s="9" t="s">
        <v>27</v>
      </c>
      <c r="F75" s="9" t="s">
        <v>449</v>
      </c>
      <c r="G75" s="10">
        <v>45930.0</v>
      </c>
      <c r="H75" s="11">
        <v>867.85</v>
      </c>
      <c r="I75" s="69">
        <v>0.0</v>
      </c>
      <c r="J75" s="84"/>
      <c r="M75" s="33"/>
      <c r="N75" s="33"/>
      <c r="O75" s="34"/>
      <c r="P75" s="14" t="s">
        <v>52</v>
      </c>
      <c r="Q75" s="16" t="s">
        <v>450</v>
      </c>
      <c r="R75" s="16" t="s">
        <v>451</v>
      </c>
      <c r="S75" s="16" t="s">
        <v>452</v>
      </c>
      <c r="T75" s="17" t="s">
        <v>56</v>
      </c>
      <c r="U75" s="87"/>
      <c r="V75" s="70" t="s">
        <v>91</v>
      </c>
      <c r="W75" s="17" t="s">
        <v>57</v>
      </c>
      <c r="X75" s="18" t="b">
        <v>1</v>
      </c>
    </row>
    <row r="76" ht="22.5" customHeight="1">
      <c r="A76" s="5" t="s">
        <v>453</v>
      </c>
      <c r="B76" s="6" t="s">
        <v>25</v>
      </c>
      <c r="C76" s="7" t="s">
        <v>26</v>
      </c>
      <c r="D76" s="8">
        <v>45374.0</v>
      </c>
      <c r="E76" s="9" t="s">
        <v>27</v>
      </c>
      <c r="F76" s="9" t="s">
        <v>454</v>
      </c>
      <c r="G76" s="10">
        <v>45930.0</v>
      </c>
      <c r="H76" s="11">
        <v>867.85</v>
      </c>
      <c r="I76" s="69">
        <v>0.0</v>
      </c>
      <c r="J76" s="84"/>
      <c r="M76" s="33"/>
      <c r="N76" s="33"/>
      <c r="O76" s="34"/>
      <c r="P76" s="14" t="s">
        <v>52</v>
      </c>
      <c r="Q76" s="16" t="s">
        <v>455</v>
      </c>
      <c r="R76" s="16" t="s">
        <v>456</v>
      </c>
      <c r="S76" s="16" t="s">
        <v>457</v>
      </c>
      <c r="T76" s="77"/>
      <c r="U76" s="70"/>
      <c r="V76" s="70" t="s">
        <v>91</v>
      </c>
      <c r="W76" s="17" t="s">
        <v>57</v>
      </c>
      <c r="X76" s="18" t="b">
        <v>1</v>
      </c>
    </row>
    <row r="77" ht="21.75" customHeight="1">
      <c r="A77" s="5" t="s">
        <v>458</v>
      </c>
      <c r="B77" s="6" t="s">
        <v>434</v>
      </c>
      <c r="C77" s="7" t="s">
        <v>459</v>
      </c>
      <c r="D77" s="8">
        <v>45539.0</v>
      </c>
      <c r="E77" s="9" t="s">
        <v>27</v>
      </c>
      <c r="F77" s="9" t="s">
        <v>460</v>
      </c>
      <c r="G77" s="10">
        <v>45540.0</v>
      </c>
      <c r="H77" s="11">
        <v>962.39</v>
      </c>
      <c r="I77" s="11">
        <v>962.39</v>
      </c>
      <c r="J77" s="84"/>
      <c r="M77" s="14" t="s">
        <v>31</v>
      </c>
      <c r="N77" s="33"/>
      <c r="O77" s="34"/>
      <c r="P77" s="33"/>
      <c r="Q77" s="86" t="s">
        <v>461</v>
      </c>
      <c r="R77" s="16" t="s">
        <v>462</v>
      </c>
      <c r="S77" s="16" t="s">
        <v>463</v>
      </c>
      <c r="T77" s="77"/>
      <c r="U77" s="70"/>
      <c r="V77" s="70" t="s">
        <v>91</v>
      </c>
      <c r="W77" s="17" t="b">
        <v>0</v>
      </c>
      <c r="X77" s="18" t="b">
        <v>0</v>
      </c>
    </row>
    <row r="78" ht="22.5" customHeight="1">
      <c r="A78" s="5" t="s">
        <v>464</v>
      </c>
      <c r="B78" s="116"/>
      <c r="C78" s="7" t="s">
        <v>26</v>
      </c>
      <c r="D78" s="8">
        <v>45518.0</v>
      </c>
      <c r="E78" s="9" t="s">
        <v>27</v>
      </c>
      <c r="F78" s="9" t="s">
        <v>465</v>
      </c>
      <c r="G78" s="10">
        <v>45930.0</v>
      </c>
      <c r="H78" s="11">
        <v>967.87</v>
      </c>
      <c r="I78" s="11">
        <v>967.87</v>
      </c>
      <c r="J78" s="84"/>
      <c r="M78" s="33"/>
      <c r="N78" s="33"/>
      <c r="O78" s="34"/>
      <c r="P78" s="33"/>
      <c r="Q78" s="16" t="s">
        <v>466</v>
      </c>
      <c r="R78" s="115" t="s">
        <v>305</v>
      </c>
      <c r="S78" s="16" t="s">
        <v>306</v>
      </c>
      <c r="T78" s="77"/>
      <c r="U78" s="70"/>
      <c r="V78" s="70" t="s">
        <v>91</v>
      </c>
      <c r="W78" s="17" t="b">
        <v>0</v>
      </c>
      <c r="X78" s="18" t="b">
        <v>0</v>
      </c>
    </row>
    <row r="79" ht="22.5" customHeight="1">
      <c r="A79" s="5" t="s">
        <v>467</v>
      </c>
      <c r="B79" s="6" t="s">
        <v>434</v>
      </c>
      <c r="C79" s="7" t="s">
        <v>468</v>
      </c>
      <c r="D79" s="8">
        <v>45445.0</v>
      </c>
      <c r="E79" s="9" t="s">
        <v>27</v>
      </c>
      <c r="F79" s="9" t="s">
        <v>469</v>
      </c>
      <c r="G79" s="10">
        <v>45930.0</v>
      </c>
      <c r="H79" s="11">
        <v>1020.4</v>
      </c>
      <c r="I79" s="11">
        <v>1020.4</v>
      </c>
      <c r="J79" s="84"/>
      <c r="M79" s="33"/>
      <c r="N79" s="33"/>
      <c r="O79" s="34"/>
      <c r="P79" s="14" t="s">
        <v>52</v>
      </c>
      <c r="Q79" s="16" t="s">
        <v>470</v>
      </c>
      <c r="R79" s="16" t="s">
        <v>471</v>
      </c>
      <c r="S79" s="16" t="s">
        <v>472</v>
      </c>
      <c r="T79" s="77"/>
      <c r="U79" s="70"/>
      <c r="V79" s="70" t="s">
        <v>91</v>
      </c>
      <c r="W79" s="17" t="s">
        <v>57</v>
      </c>
      <c r="X79" s="18" t="b">
        <v>1</v>
      </c>
    </row>
    <row r="80" ht="22.5" customHeight="1">
      <c r="A80" s="5" t="s">
        <v>473</v>
      </c>
      <c r="B80" s="6" t="s">
        <v>25</v>
      </c>
      <c r="C80" s="7" t="s">
        <v>26</v>
      </c>
      <c r="D80" s="8">
        <v>45461.0</v>
      </c>
      <c r="E80" s="9" t="s">
        <v>27</v>
      </c>
      <c r="F80" s="9" t="s">
        <v>474</v>
      </c>
      <c r="G80" s="10">
        <v>45900.0</v>
      </c>
      <c r="H80" s="11">
        <v>1220.4</v>
      </c>
      <c r="I80" s="69">
        <v>0.0</v>
      </c>
      <c r="J80" s="84"/>
      <c r="M80" s="33"/>
      <c r="N80" s="33"/>
      <c r="O80" s="34"/>
      <c r="P80" s="14" t="s">
        <v>33</v>
      </c>
      <c r="Q80" s="16" t="s">
        <v>475</v>
      </c>
      <c r="R80" s="16" t="s">
        <v>476</v>
      </c>
      <c r="S80" s="16" t="s">
        <v>477</v>
      </c>
      <c r="T80" s="77"/>
      <c r="U80" s="70"/>
      <c r="V80" s="70" t="s">
        <v>91</v>
      </c>
      <c r="W80" s="17" t="b">
        <v>0</v>
      </c>
      <c r="X80" s="18" t="b">
        <v>1</v>
      </c>
    </row>
    <row r="81" ht="22.5" customHeight="1">
      <c r="A81" s="5" t="s">
        <v>478</v>
      </c>
      <c r="B81" s="6" t="s">
        <v>25</v>
      </c>
      <c r="C81" s="7" t="s">
        <v>26</v>
      </c>
      <c r="D81" s="8">
        <v>45543.0</v>
      </c>
      <c r="E81" s="9" t="s">
        <v>27</v>
      </c>
      <c r="F81" s="9" t="s">
        <v>479</v>
      </c>
      <c r="G81" s="10">
        <v>45930.0</v>
      </c>
      <c r="H81" s="11">
        <v>1154.87</v>
      </c>
      <c r="I81" s="69">
        <v>0.0</v>
      </c>
      <c r="J81" s="84"/>
      <c r="M81" s="33"/>
      <c r="N81" s="33"/>
      <c r="O81" s="34"/>
      <c r="P81" s="14" t="s">
        <v>52</v>
      </c>
      <c r="Q81" s="16" t="s">
        <v>480</v>
      </c>
      <c r="R81" s="58" t="s">
        <v>481</v>
      </c>
      <c r="S81" s="16" t="s">
        <v>482</v>
      </c>
      <c r="T81" s="77"/>
      <c r="U81" s="70"/>
      <c r="V81" s="70" t="s">
        <v>91</v>
      </c>
      <c r="W81" s="17" t="s">
        <v>57</v>
      </c>
      <c r="X81" s="18" t="b">
        <v>1</v>
      </c>
    </row>
    <row r="82" ht="22.5" customHeight="1">
      <c r="A82" s="5" t="s">
        <v>483</v>
      </c>
      <c r="B82" s="6" t="s">
        <v>331</v>
      </c>
      <c r="C82" s="7" t="s">
        <v>26</v>
      </c>
      <c r="D82" s="8">
        <v>45733.0</v>
      </c>
      <c r="E82" s="9" t="s">
        <v>27</v>
      </c>
      <c r="F82" s="9" t="s">
        <v>484</v>
      </c>
      <c r="G82" s="10">
        <v>45930.0</v>
      </c>
      <c r="H82" s="11">
        <v>1267.87</v>
      </c>
      <c r="I82" s="11">
        <v>1267.87</v>
      </c>
      <c r="J82" s="84"/>
      <c r="M82" s="33"/>
      <c r="N82" s="33"/>
      <c r="O82" s="34"/>
      <c r="P82" s="14" t="s">
        <v>52</v>
      </c>
      <c r="Q82" s="16" t="s">
        <v>485</v>
      </c>
      <c r="R82" s="16" t="s">
        <v>486</v>
      </c>
      <c r="S82" s="16" t="s">
        <v>487</v>
      </c>
      <c r="T82" s="77"/>
      <c r="U82" s="70"/>
      <c r="V82" s="70" t="s">
        <v>91</v>
      </c>
      <c r="W82" s="17" t="s">
        <v>112</v>
      </c>
      <c r="X82" s="18" t="b">
        <v>1</v>
      </c>
    </row>
    <row r="83" ht="22.5" customHeight="1">
      <c r="A83" s="5" t="s">
        <v>488</v>
      </c>
      <c r="B83" s="116"/>
      <c r="C83" s="7" t="s">
        <v>346</v>
      </c>
      <c r="D83" s="8">
        <v>45539.0</v>
      </c>
      <c r="E83" s="9" t="s">
        <v>27</v>
      </c>
      <c r="F83" s="9" t="s">
        <v>489</v>
      </c>
      <c r="G83" s="10">
        <v>45540.0</v>
      </c>
      <c r="H83" s="11">
        <v>1354.87</v>
      </c>
      <c r="I83" s="11">
        <v>1354.87</v>
      </c>
      <c r="J83" s="84"/>
      <c r="M83" s="33"/>
      <c r="N83" s="33"/>
      <c r="O83" s="34"/>
      <c r="P83" s="33"/>
      <c r="Q83" s="16" t="s">
        <v>490</v>
      </c>
      <c r="R83" s="16" t="s">
        <v>491</v>
      </c>
      <c r="S83" s="16" t="s">
        <v>492</v>
      </c>
      <c r="T83" s="77"/>
      <c r="U83" s="70"/>
      <c r="V83" s="70" t="s">
        <v>91</v>
      </c>
      <c r="W83" s="17" t="b">
        <v>0</v>
      </c>
      <c r="X83" s="18" t="b">
        <v>1</v>
      </c>
    </row>
    <row r="84" ht="22.5" customHeight="1">
      <c r="A84" s="5" t="s">
        <v>493</v>
      </c>
      <c r="B84" s="116"/>
      <c r="C84" s="76" t="s">
        <v>26</v>
      </c>
      <c r="D84" s="8">
        <v>45618.0</v>
      </c>
      <c r="E84" s="9" t="s">
        <v>27</v>
      </c>
      <c r="F84" s="9" t="s">
        <v>494</v>
      </c>
      <c r="G84" s="10">
        <v>45930.0</v>
      </c>
      <c r="H84" s="11">
        <v>29205.0</v>
      </c>
      <c r="I84" s="11">
        <v>29205.0</v>
      </c>
      <c r="J84" s="12" t="s">
        <v>94</v>
      </c>
      <c r="M84" s="33"/>
      <c r="N84" s="33"/>
      <c r="O84" s="34"/>
      <c r="P84" s="33"/>
      <c r="Q84" s="16" t="s">
        <v>495</v>
      </c>
      <c r="R84" s="16" t="s">
        <v>496</v>
      </c>
      <c r="S84" s="16" t="s">
        <v>497</v>
      </c>
      <c r="T84" s="116"/>
      <c r="U84" s="9"/>
      <c r="V84" s="9" t="s">
        <v>498</v>
      </c>
      <c r="W84" s="6" t="s">
        <v>57</v>
      </c>
      <c r="X84" s="117" t="b">
        <v>0</v>
      </c>
    </row>
    <row r="85" ht="22.5" customHeight="1">
      <c r="A85" s="5" t="s">
        <v>493</v>
      </c>
      <c r="B85" s="116"/>
      <c r="C85" s="133" t="s">
        <v>26</v>
      </c>
      <c r="D85" s="8">
        <v>45594.0</v>
      </c>
      <c r="E85" s="9" t="s">
        <v>27</v>
      </c>
      <c r="F85" s="9" t="s">
        <v>499</v>
      </c>
      <c r="G85" s="10">
        <v>45961.0</v>
      </c>
      <c r="H85" s="11">
        <v>30900.0</v>
      </c>
      <c r="I85" s="11">
        <v>30900.0</v>
      </c>
      <c r="J85" s="12" t="s">
        <v>94</v>
      </c>
      <c r="M85" s="33"/>
      <c r="N85" s="33"/>
      <c r="O85" s="34"/>
      <c r="P85" s="33"/>
      <c r="Q85" s="16" t="s">
        <v>495</v>
      </c>
      <c r="R85" s="16" t="s">
        <v>496</v>
      </c>
      <c r="S85" s="16" t="s">
        <v>497</v>
      </c>
      <c r="T85" s="116"/>
      <c r="U85" s="9"/>
      <c r="V85" s="133" t="s">
        <v>500</v>
      </c>
      <c r="W85" s="20" t="s">
        <v>57</v>
      </c>
      <c r="X85" s="157" t="b">
        <v>0</v>
      </c>
    </row>
    <row r="86" ht="22.5" customHeight="1">
      <c r="A86" s="76" t="s">
        <v>501</v>
      </c>
      <c r="B86" s="6" t="s">
        <v>25</v>
      </c>
      <c r="C86" s="133" t="s">
        <v>502</v>
      </c>
      <c r="D86" s="76" t="s">
        <v>503</v>
      </c>
      <c r="E86" s="76" t="s">
        <v>27</v>
      </c>
      <c r="F86" s="76">
        <v>1218.0</v>
      </c>
      <c r="G86" s="10"/>
      <c r="H86" s="69">
        <v>1128.87</v>
      </c>
      <c r="I86" s="69">
        <v>0.0</v>
      </c>
      <c r="J86" s="32"/>
      <c r="M86" s="33"/>
      <c r="N86" s="33"/>
      <c r="O86" s="34"/>
      <c r="P86" s="33"/>
      <c r="Q86" s="16" t="s">
        <v>504</v>
      </c>
      <c r="R86" s="16" t="s">
        <v>505</v>
      </c>
      <c r="S86" s="16" t="s">
        <v>506</v>
      </c>
      <c r="T86" s="116"/>
      <c r="U86" s="9"/>
      <c r="V86" s="133" t="s">
        <v>507</v>
      </c>
      <c r="W86" s="158"/>
      <c r="X86" s="157" t="b">
        <v>0</v>
      </c>
    </row>
    <row r="87" ht="22.5" customHeight="1">
      <c r="A87" s="76" t="s">
        <v>508</v>
      </c>
      <c r="B87" s="6" t="s">
        <v>25</v>
      </c>
      <c r="C87" s="76" t="s">
        <v>26</v>
      </c>
      <c r="D87" s="8">
        <v>45535.0</v>
      </c>
      <c r="E87" s="76" t="s">
        <v>27</v>
      </c>
      <c r="F87" s="76">
        <v>1200.0</v>
      </c>
      <c r="G87" s="10">
        <v>46022.0</v>
      </c>
      <c r="H87" s="69">
        <v>594.95</v>
      </c>
      <c r="I87" s="69">
        <v>0.0</v>
      </c>
      <c r="J87" s="32"/>
      <c r="M87" s="33"/>
      <c r="N87" s="33"/>
      <c r="O87" s="34"/>
      <c r="P87" s="14" t="s">
        <v>33</v>
      </c>
      <c r="Q87" s="16" t="s">
        <v>509</v>
      </c>
      <c r="R87" s="16" t="s">
        <v>510</v>
      </c>
      <c r="S87" s="16" t="s">
        <v>511</v>
      </c>
      <c r="T87" s="116"/>
      <c r="U87" s="9"/>
      <c r="V87" s="76" t="s">
        <v>512</v>
      </c>
      <c r="W87" s="159"/>
      <c r="X87" s="117" t="b">
        <v>0</v>
      </c>
    </row>
    <row r="88" ht="22.5" customHeight="1">
      <c r="A88" s="160"/>
      <c r="B88" s="161"/>
      <c r="C88" s="7"/>
      <c r="D88" s="162" t="s">
        <v>513</v>
      </c>
      <c r="E88" s="70"/>
      <c r="F88" s="70"/>
      <c r="G88" s="70"/>
      <c r="H88" s="163">
        <v>128979.68</v>
      </c>
      <c r="I88" s="163">
        <v>94640.56999999999</v>
      </c>
      <c r="J88" s="84"/>
      <c r="M88" s="33"/>
      <c r="N88" s="33"/>
      <c r="O88" s="34"/>
      <c r="P88" s="33"/>
      <c r="Q88" s="16"/>
      <c r="R88" s="34"/>
      <c r="S88" s="34"/>
      <c r="T88" s="77"/>
      <c r="U88" s="70"/>
      <c r="V88" s="70"/>
      <c r="W88" s="17" t="b">
        <v>0</v>
      </c>
      <c r="X88" s="18" t="b">
        <v>0</v>
      </c>
      <c r="Y88" s="65"/>
      <c r="Z88" s="65"/>
      <c r="AA88" s="65"/>
      <c r="AB88" s="65"/>
      <c r="AC88" s="65"/>
      <c r="AD88" s="65"/>
      <c r="AE88" s="65"/>
    </row>
    <row r="89" ht="22.5" customHeight="1">
      <c r="A89" s="76" t="s">
        <v>514</v>
      </c>
      <c r="B89" s="159"/>
      <c r="C89" s="7"/>
      <c r="D89" s="164" t="s">
        <v>515</v>
      </c>
      <c r="E89" s="76" t="s">
        <v>26</v>
      </c>
      <c r="F89" s="76" t="s">
        <v>516</v>
      </c>
      <c r="G89" s="165" t="s">
        <v>26</v>
      </c>
      <c r="H89" s="166" t="s">
        <v>517</v>
      </c>
      <c r="I89" s="166" t="s">
        <v>518</v>
      </c>
      <c r="J89" s="12" t="s">
        <v>26</v>
      </c>
      <c r="K89" s="13" t="s">
        <v>26</v>
      </c>
      <c r="L89" s="13" t="s">
        <v>11</v>
      </c>
      <c r="M89" s="14" t="s">
        <v>26</v>
      </c>
      <c r="N89" s="14" t="s">
        <v>13</v>
      </c>
      <c r="O89" s="16" t="s">
        <v>14</v>
      </c>
      <c r="P89" s="14" t="s">
        <v>519</v>
      </c>
      <c r="Q89" s="16" t="s">
        <v>520</v>
      </c>
      <c r="R89" s="16" t="s">
        <v>17</v>
      </c>
      <c r="S89" s="16" t="s">
        <v>18</v>
      </c>
      <c r="T89" s="167"/>
      <c r="U89" s="7" t="s">
        <v>521</v>
      </c>
      <c r="V89" s="7" t="s">
        <v>21</v>
      </c>
      <c r="W89" s="167"/>
      <c r="X89" s="18" t="b">
        <v>0</v>
      </c>
    </row>
  </sheetData>
  <dataValidations>
    <dataValidation type="list" allowBlank="1" sqref="J2:J89">
      <formula1>"1st Batch,2nd Batch,Other/Multiple,DONT INCLUDE YET"</formula1>
    </dataValidation>
    <dataValidation type="list" allowBlank="1" sqref="M2:M89">
      <formula1>"Delivered,Returned,Refunded,Wants a Refund,Needs New One,Hold Off"</formula1>
    </dataValidation>
    <dataValidation type="list" allowBlank="1" sqref="T2:T89">
      <formula1>"Front (Bottom),Front (Top),Base / No Response,Not Sure,Didn't Want"</formula1>
    </dataValidation>
    <dataValidation type="custom" allowBlank="1" showDropDown="1" sqref="O2:O89">
      <formula1>OR(NOT(ISERROR(DATEVALUE(O2))), AND(ISNUMBER(O2), LEFT(CELL("format", O2))="D"))</formula1>
    </dataValidation>
    <dataValidation type="list" allowBlank="1" sqref="P2:P89">
      <formula1>"White,Black,N/A or IDK,Doesn't Care"</formula1>
    </dataValidation>
    <dataValidation type="list" allowBlank="1" sqref="B2:B89">
      <formula1>"Awaiting emails,Sent Emails,Paid,HOLD OFF"</formula1>
    </dataValidation>
    <dataValidation type="list" allowBlank="1" sqref="N2:N89">
      <formula1>"Not Started,Invoice Sent, Not Scheduled,Scheduled, No Invoice Sent,Scheduled &amp; Invoice Sent,Delivered, Not Paid,Delivered &amp; Paid,Returned to Fix,Returned &amp;/or Refunded,Shipped, Not Delivered,Paid, Not Delivered"</formula1>
    </dataValidation>
    <dataValidation type="custom" allowBlank="1" showDropDown="1" sqref="A2:A89 H2:I89">
      <formula1>AND(ISNUMBER(A2),(NOT(OR(NOT(ISERROR(DATEVALUE(A2))), AND(ISNUMBER(A2), LEFT(CELL("format", A2))="D")))))</formula1>
    </dataValidation>
    <dataValidation type="list" allowBlank="1" sqref="W2:W89">
      <formula1>"HIGH,Medium,Low,Hold off,Critical,Last"</formula1>
    </dataValidation>
  </dataValidations>
  <hyperlinks>
    <hyperlink r:id="rId1" ref="Q14"/>
    <hyperlink r:id="rId2" ref="Q16"/>
    <hyperlink r:id="rId3" ref="Q41"/>
    <hyperlink r:id="rId4" ref="R41"/>
    <hyperlink r:id="rId5" ref="R47"/>
    <hyperlink r:id="rId6" ref="R48"/>
    <hyperlink r:id="rId7" ref="Q53"/>
    <hyperlink r:id="rId8" ref="Q67"/>
    <hyperlink r:id="rId9" ref="R7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2.5"/>
    <col customWidth="1" min="3" max="3" width="25.5"/>
    <col customWidth="1" min="4" max="4" width="18.63"/>
    <col customWidth="1" min="5" max="5" width="21.5"/>
    <col customWidth="1" min="6" max="6" width="22.75"/>
  </cols>
  <sheetData>
    <row r="1">
      <c r="A1" s="168" t="s">
        <v>522</v>
      </c>
    </row>
    <row r="2">
      <c r="A2" s="169" t="s">
        <v>523</v>
      </c>
    </row>
    <row r="3">
      <c r="A3" s="170"/>
      <c r="B3" s="170"/>
      <c r="C3" s="170"/>
      <c r="D3" s="170"/>
      <c r="E3" s="170"/>
      <c r="F3" s="170"/>
    </row>
    <row r="4">
      <c r="A4" s="171" t="s">
        <v>524</v>
      </c>
      <c r="B4" s="171" t="s">
        <v>525</v>
      </c>
      <c r="C4" s="171" t="s">
        <v>18</v>
      </c>
      <c r="D4" s="171" t="s">
        <v>526</v>
      </c>
      <c r="E4" s="171" t="s">
        <v>527</v>
      </c>
      <c r="F4" s="171" t="s">
        <v>528</v>
      </c>
    </row>
    <row r="5">
      <c r="A5" s="172" t="s">
        <v>529</v>
      </c>
      <c r="B5" s="170" t="s">
        <v>91</v>
      </c>
      <c r="C5" s="172" t="s">
        <v>530</v>
      </c>
      <c r="D5" s="170" t="s">
        <v>91</v>
      </c>
      <c r="E5" s="172" t="s">
        <v>531</v>
      </c>
      <c r="F5" s="172" t="s">
        <v>531</v>
      </c>
    </row>
    <row r="6">
      <c r="A6" s="173" t="s">
        <v>532</v>
      </c>
      <c r="B6" s="172" t="s">
        <v>533</v>
      </c>
      <c r="C6" s="172" t="s">
        <v>163</v>
      </c>
      <c r="D6" s="174" t="s">
        <v>159</v>
      </c>
      <c r="E6" s="170" t="s">
        <v>91</v>
      </c>
      <c r="F6" s="170" t="s">
        <v>91</v>
      </c>
    </row>
    <row r="7">
      <c r="A7" s="172" t="s">
        <v>251</v>
      </c>
      <c r="B7" s="170" t="s">
        <v>91</v>
      </c>
      <c r="C7" s="172" t="s">
        <v>254</v>
      </c>
      <c r="D7" s="172" t="s">
        <v>534</v>
      </c>
      <c r="E7" s="170" t="s">
        <v>91</v>
      </c>
      <c r="F7" s="170" t="s">
        <v>91</v>
      </c>
    </row>
    <row r="8">
      <c r="A8" s="172" t="s">
        <v>535</v>
      </c>
      <c r="B8" s="172" t="s">
        <v>536</v>
      </c>
      <c r="C8" s="172" t="s">
        <v>537</v>
      </c>
      <c r="D8" s="172" t="s">
        <v>538</v>
      </c>
      <c r="E8" s="172" t="s">
        <v>539</v>
      </c>
      <c r="F8" s="172" t="s">
        <v>539</v>
      </c>
    </row>
    <row r="9">
      <c r="A9" s="172" t="s">
        <v>255</v>
      </c>
      <c r="B9" s="172" t="s">
        <v>540</v>
      </c>
      <c r="C9" s="172" t="s">
        <v>259</v>
      </c>
      <c r="D9" s="172" t="s">
        <v>541</v>
      </c>
      <c r="E9" s="170" t="s">
        <v>91</v>
      </c>
      <c r="F9" s="170" t="s">
        <v>91</v>
      </c>
    </row>
    <row r="10">
      <c r="A10" s="172" t="s">
        <v>387</v>
      </c>
      <c r="B10" s="172" t="s">
        <v>542</v>
      </c>
      <c r="C10" s="172" t="s">
        <v>392</v>
      </c>
      <c r="D10" s="172" t="s">
        <v>543</v>
      </c>
      <c r="E10" s="170" t="s">
        <v>91</v>
      </c>
      <c r="F10" s="170" t="s">
        <v>91</v>
      </c>
    </row>
    <row r="11">
      <c r="A11" s="172" t="s">
        <v>544</v>
      </c>
      <c r="B11" s="170" t="s">
        <v>91</v>
      </c>
      <c r="C11" s="172" t="s">
        <v>545</v>
      </c>
      <c r="D11" s="172" t="s">
        <v>544</v>
      </c>
      <c r="E11" s="170" t="s">
        <v>91</v>
      </c>
      <c r="F11" s="170" t="s">
        <v>91</v>
      </c>
    </row>
    <row r="12">
      <c r="A12" s="172" t="s">
        <v>453</v>
      </c>
      <c r="B12" s="172" t="s">
        <v>546</v>
      </c>
      <c r="C12" s="172" t="s">
        <v>457</v>
      </c>
      <c r="D12" s="172" t="s">
        <v>547</v>
      </c>
      <c r="E12" s="172" t="s">
        <v>455</v>
      </c>
      <c r="F12" s="172" t="s">
        <v>455</v>
      </c>
    </row>
    <row r="13">
      <c r="A13" s="172" t="s">
        <v>548</v>
      </c>
      <c r="B13" s="170" t="s">
        <v>91</v>
      </c>
      <c r="C13" s="170" t="s">
        <v>91</v>
      </c>
      <c r="D13" s="170" t="s">
        <v>91</v>
      </c>
      <c r="E13" s="170" t="s">
        <v>91</v>
      </c>
      <c r="F13" s="170" t="s">
        <v>91</v>
      </c>
    </row>
    <row r="14">
      <c r="A14" s="172" t="s">
        <v>50</v>
      </c>
      <c r="B14" s="172" t="s">
        <v>549</v>
      </c>
      <c r="C14" s="172" t="s">
        <v>55</v>
      </c>
      <c r="D14" s="172" t="s">
        <v>550</v>
      </c>
      <c r="E14" s="170" t="s">
        <v>91</v>
      </c>
      <c r="F14" s="170" t="s">
        <v>91</v>
      </c>
    </row>
    <row r="15">
      <c r="A15" s="172" t="s">
        <v>551</v>
      </c>
      <c r="B15" s="170" t="s">
        <v>91</v>
      </c>
      <c r="C15" s="170" t="s">
        <v>91</v>
      </c>
      <c r="D15" s="170" t="s">
        <v>91</v>
      </c>
      <c r="E15" s="170" t="s">
        <v>91</v>
      </c>
      <c r="F15" s="170" t="s">
        <v>91</v>
      </c>
    </row>
    <row r="16">
      <c r="A16" s="172" t="s">
        <v>552</v>
      </c>
      <c r="B16" s="170" t="s">
        <v>91</v>
      </c>
      <c r="C16" s="170" t="s">
        <v>91</v>
      </c>
      <c r="D16" s="170" t="s">
        <v>91</v>
      </c>
      <c r="E16" s="170" t="s">
        <v>91</v>
      </c>
      <c r="F16" s="170" t="s">
        <v>91</v>
      </c>
    </row>
    <row r="17">
      <c r="A17" s="172" t="s">
        <v>553</v>
      </c>
      <c r="B17" s="170" t="s">
        <v>91</v>
      </c>
      <c r="C17" s="170" t="s">
        <v>91</v>
      </c>
      <c r="D17" s="170" t="s">
        <v>91</v>
      </c>
      <c r="E17" s="170" t="s">
        <v>91</v>
      </c>
      <c r="F17" s="170" t="s">
        <v>91</v>
      </c>
    </row>
    <row r="18">
      <c r="A18" s="172" t="s">
        <v>246</v>
      </c>
      <c r="B18" s="170" t="s">
        <v>91</v>
      </c>
      <c r="C18" s="172" t="s">
        <v>250</v>
      </c>
      <c r="D18" s="172" t="s">
        <v>554</v>
      </c>
      <c r="E18" s="170" t="s">
        <v>91</v>
      </c>
      <c r="F18" s="170" t="s">
        <v>91</v>
      </c>
    </row>
    <row r="19">
      <c r="A19" s="172" t="s">
        <v>340</v>
      </c>
      <c r="B19" s="172" t="s">
        <v>555</v>
      </c>
      <c r="C19" s="172" t="s">
        <v>343</v>
      </c>
      <c r="D19" s="172" t="s">
        <v>556</v>
      </c>
      <c r="E19" s="170" t="s">
        <v>91</v>
      </c>
      <c r="F19" s="170" t="s">
        <v>91</v>
      </c>
    </row>
    <row r="20">
      <c r="A20" s="172" t="s">
        <v>230</v>
      </c>
      <c r="B20" s="172" t="s">
        <v>557</v>
      </c>
      <c r="C20" s="172" t="s">
        <v>234</v>
      </c>
      <c r="D20" s="172" t="s">
        <v>558</v>
      </c>
      <c r="E20" s="170" t="s">
        <v>91</v>
      </c>
      <c r="F20" s="170" t="s">
        <v>91</v>
      </c>
    </row>
    <row r="21">
      <c r="A21" s="172" t="s">
        <v>120</v>
      </c>
      <c r="B21" s="172" t="s">
        <v>559</v>
      </c>
      <c r="C21" s="172" t="s">
        <v>124</v>
      </c>
      <c r="D21" s="172" t="s">
        <v>560</v>
      </c>
      <c r="E21" s="172" t="s">
        <v>122</v>
      </c>
      <c r="F21" s="172" t="s">
        <v>122</v>
      </c>
    </row>
    <row r="22">
      <c r="A22" s="172" t="s">
        <v>267</v>
      </c>
      <c r="B22" s="170" t="s">
        <v>91</v>
      </c>
      <c r="C22" s="172" t="s">
        <v>271</v>
      </c>
      <c r="D22" s="172" t="s">
        <v>561</v>
      </c>
      <c r="E22" s="170" t="s">
        <v>91</v>
      </c>
      <c r="F22" s="170" t="s">
        <v>91</v>
      </c>
    </row>
    <row r="23">
      <c r="A23" s="172" t="s">
        <v>314</v>
      </c>
      <c r="B23" s="170" t="s">
        <v>91</v>
      </c>
      <c r="C23" s="172" t="s">
        <v>318</v>
      </c>
      <c r="D23" s="172" t="s">
        <v>562</v>
      </c>
      <c r="E23" s="172" t="s">
        <v>316</v>
      </c>
      <c r="F23" s="172" t="s">
        <v>316</v>
      </c>
    </row>
    <row r="24">
      <c r="A24" s="172" t="s">
        <v>563</v>
      </c>
      <c r="B24" s="172" t="s">
        <v>564</v>
      </c>
      <c r="C24" s="172" t="s">
        <v>565</v>
      </c>
      <c r="D24" s="172" t="s">
        <v>566</v>
      </c>
      <c r="E24" s="170" t="s">
        <v>91</v>
      </c>
      <c r="F24" s="170" t="s">
        <v>91</v>
      </c>
    </row>
    <row r="25">
      <c r="A25" s="172" t="s">
        <v>40</v>
      </c>
      <c r="B25" s="172" t="s">
        <v>567</v>
      </c>
      <c r="C25" s="172" t="s">
        <v>47</v>
      </c>
      <c r="D25" s="172" t="s">
        <v>568</v>
      </c>
      <c r="E25" s="170" t="s">
        <v>91</v>
      </c>
      <c r="F25" s="170" t="s">
        <v>91</v>
      </c>
    </row>
    <row r="26">
      <c r="A26" s="172" t="s">
        <v>198</v>
      </c>
      <c r="B26" s="172" t="s">
        <v>569</v>
      </c>
      <c r="C26" s="172" t="s">
        <v>202</v>
      </c>
      <c r="D26" s="172" t="s">
        <v>570</v>
      </c>
      <c r="E26" s="170" t="s">
        <v>91</v>
      </c>
      <c r="F26" s="170" t="s">
        <v>91</v>
      </c>
    </row>
    <row r="27">
      <c r="A27" s="172" t="s">
        <v>438</v>
      </c>
      <c r="B27" s="172" t="s">
        <v>571</v>
      </c>
      <c r="C27" s="172" t="s">
        <v>442</v>
      </c>
      <c r="D27" s="172" t="s">
        <v>572</v>
      </c>
      <c r="E27" s="172" t="s">
        <v>440</v>
      </c>
      <c r="F27" s="172" t="s">
        <v>440</v>
      </c>
    </row>
    <row r="28">
      <c r="A28" s="172" t="s">
        <v>573</v>
      </c>
      <c r="B28" s="170" t="s">
        <v>91</v>
      </c>
      <c r="C28" s="170" t="s">
        <v>91</v>
      </c>
      <c r="D28" s="170" t="s">
        <v>91</v>
      </c>
      <c r="E28" s="170" t="s">
        <v>91</v>
      </c>
      <c r="F28" s="170" t="s">
        <v>91</v>
      </c>
    </row>
    <row r="29">
      <c r="A29" s="172" t="s">
        <v>574</v>
      </c>
      <c r="B29" s="170" t="s">
        <v>91</v>
      </c>
      <c r="C29" s="170" t="s">
        <v>91</v>
      </c>
      <c r="D29" s="170" t="s">
        <v>91</v>
      </c>
      <c r="E29" s="170" t="s">
        <v>91</v>
      </c>
      <c r="F29" s="170" t="s">
        <v>91</v>
      </c>
    </row>
    <row r="30">
      <c r="A30" s="172" t="s">
        <v>92</v>
      </c>
      <c r="B30" s="172" t="s">
        <v>575</v>
      </c>
      <c r="C30" s="172" t="s">
        <v>100</v>
      </c>
      <c r="D30" s="172" t="s">
        <v>576</v>
      </c>
      <c r="E30" s="170" t="s">
        <v>91</v>
      </c>
      <c r="F30" s="170" t="s">
        <v>91</v>
      </c>
    </row>
    <row r="31">
      <c r="A31" s="172" t="s">
        <v>488</v>
      </c>
      <c r="B31" s="172" t="s">
        <v>577</v>
      </c>
      <c r="C31" s="172" t="s">
        <v>492</v>
      </c>
      <c r="D31" s="172" t="s">
        <v>578</v>
      </c>
      <c r="E31" s="172" t="s">
        <v>490</v>
      </c>
      <c r="F31" s="172" t="s">
        <v>490</v>
      </c>
    </row>
    <row r="32">
      <c r="A32" s="172" t="s">
        <v>428</v>
      </c>
      <c r="B32" s="172" t="s">
        <v>579</v>
      </c>
      <c r="C32" s="172" t="s">
        <v>432</v>
      </c>
      <c r="D32" s="172" t="s">
        <v>580</v>
      </c>
      <c r="E32" s="172" t="s">
        <v>581</v>
      </c>
      <c r="F32" s="172" t="s">
        <v>581</v>
      </c>
    </row>
    <row r="33">
      <c r="A33" s="172" t="s">
        <v>102</v>
      </c>
      <c r="B33" s="172" t="s">
        <v>582</v>
      </c>
      <c r="C33" s="172" t="s">
        <v>106</v>
      </c>
      <c r="D33" s="172" t="s">
        <v>583</v>
      </c>
      <c r="E33" s="170" t="s">
        <v>91</v>
      </c>
      <c r="F33" s="170" t="s">
        <v>91</v>
      </c>
    </row>
    <row r="34">
      <c r="A34" s="172" t="s">
        <v>584</v>
      </c>
      <c r="B34" s="170" t="s">
        <v>91</v>
      </c>
      <c r="C34" s="170" t="s">
        <v>91</v>
      </c>
      <c r="D34" s="170" t="s">
        <v>91</v>
      </c>
      <c r="E34" s="170" t="s">
        <v>91</v>
      </c>
      <c r="F34" s="170" t="s">
        <v>91</v>
      </c>
    </row>
    <row r="35">
      <c r="A35" s="172" t="s">
        <v>403</v>
      </c>
      <c r="B35" s="172" t="s">
        <v>585</v>
      </c>
      <c r="C35" s="172" t="s">
        <v>407</v>
      </c>
      <c r="D35" s="172" t="s">
        <v>586</v>
      </c>
      <c r="E35" s="172" t="s">
        <v>405</v>
      </c>
      <c r="F35" s="172" t="s">
        <v>405</v>
      </c>
    </row>
    <row r="36">
      <c r="A36" s="172" t="s">
        <v>260</v>
      </c>
      <c r="B36" s="172" t="s">
        <v>587</v>
      </c>
      <c r="C36" s="172" t="s">
        <v>265</v>
      </c>
      <c r="D36" s="172" t="s">
        <v>588</v>
      </c>
      <c r="E36" s="172" t="s">
        <v>263</v>
      </c>
      <c r="F36" s="172" t="s">
        <v>263</v>
      </c>
    </row>
    <row r="37">
      <c r="A37" s="172" t="s">
        <v>345</v>
      </c>
      <c r="B37" s="170" t="s">
        <v>91</v>
      </c>
      <c r="C37" s="172" t="s">
        <v>350</v>
      </c>
      <c r="D37" s="172" t="s">
        <v>589</v>
      </c>
      <c r="E37" s="170" t="s">
        <v>91</v>
      </c>
      <c r="F37" s="170" t="s">
        <v>91</v>
      </c>
    </row>
    <row r="38">
      <c r="A38" s="172" t="s">
        <v>590</v>
      </c>
      <c r="B38" s="170" t="s">
        <v>91</v>
      </c>
      <c r="C38" s="170" t="s">
        <v>91</v>
      </c>
      <c r="D38" s="170" t="s">
        <v>91</v>
      </c>
      <c r="E38" s="170" t="s">
        <v>91</v>
      </c>
      <c r="F38" s="170" t="s">
        <v>91</v>
      </c>
    </row>
    <row r="39">
      <c r="A39" s="172" t="s">
        <v>591</v>
      </c>
      <c r="B39" s="170" t="s">
        <v>91</v>
      </c>
      <c r="C39" s="172" t="s">
        <v>437</v>
      </c>
      <c r="D39" s="172" t="s">
        <v>592</v>
      </c>
      <c r="E39" s="172" t="s">
        <v>436</v>
      </c>
      <c r="F39" s="172" t="s">
        <v>436</v>
      </c>
    </row>
    <row r="40">
      <c r="A40" s="172" t="s">
        <v>593</v>
      </c>
      <c r="B40" s="170" t="s">
        <v>91</v>
      </c>
      <c r="C40" s="172" t="s">
        <v>594</v>
      </c>
      <c r="D40" s="172" t="s">
        <v>595</v>
      </c>
      <c r="E40" s="170" t="s">
        <v>91</v>
      </c>
      <c r="F40" s="170" t="s">
        <v>91</v>
      </c>
    </row>
    <row r="41">
      <c r="A41" s="172" t="s">
        <v>464</v>
      </c>
      <c r="B41" s="170" t="s">
        <v>91</v>
      </c>
      <c r="C41" s="172" t="s">
        <v>306</v>
      </c>
      <c r="D41" s="170" t="s">
        <v>91</v>
      </c>
      <c r="E41" s="172" t="s">
        <v>466</v>
      </c>
      <c r="F41" s="172" t="s">
        <v>466</v>
      </c>
    </row>
    <row r="42">
      <c r="A42" s="172" t="s">
        <v>467</v>
      </c>
      <c r="B42" s="172" t="s">
        <v>596</v>
      </c>
      <c r="C42" s="172" t="s">
        <v>472</v>
      </c>
      <c r="D42" s="172" t="s">
        <v>597</v>
      </c>
      <c r="E42" s="172" t="s">
        <v>470</v>
      </c>
      <c r="F42" s="172" t="s">
        <v>470</v>
      </c>
    </row>
    <row r="43">
      <c r="A43" s="172" t="s">
        <v>598</v>
      </c>
      <c r="B43" s="172" t="s">
        <v>599</v>
      </c>
      <c r="C43" s="172" t="s">
        <v>600</v>
      </c>
      <c r="D43" s="172" t="s">
        <v>601</v>
      </c>
      <c r="E43" s="170" t="s">
        <v>91</v>
      </c>
      <c r="F43" s="170" t="s">
        <v>91</v>
      </c>
    </row>
    <row r="44">
      <c r="A44" s="172" t="s">
        <v>602</v>
      </c>
      <c r="B44" s="172" t="s">
        <v>603</v>
      </c>
      <c r="C44" s="172" t="s">
        <v>604</v>
      </c>
      <c r="D44" s="172" t="s">
        <v>605</v>
      </c>
      <c r="E44" s="170" t="s">
        <v>91</v>
      </c>
      <c r="F44" s="170" t="s">
        <v>91</v>
      </c>
    </row>
    <row r="45">
      <c r="A45" s="172" t="s">
        <v>606</v>
      </c>
      <c r="B45" s="172" t="s">
        <v>607</v>
      </c>
      <c r="C45" s="172" t="s">
        <v>608</v>
      </c>
      <c r="D45" s="172" t="s">
        <v>609</v>
      </c>
      <c r="E45" s="172" t="s">
        <v>610</v>
      </c>
      <c r="F45" s="172" t="s">
        <v>610</v>
      </c>
    </row>
    <row r="46">
      <c r="A46" s="172" t="s">
        <v>85</v>
      </c>
      <c r="B46" s="172" t="s">
        <v>611</v>
      </c>
      <c r="C46" s="172" t="s">
        <v>90</v>
      </c>
      <c r="D46" s="172" t="s">
        <v>612</v>
      </c>
      <c r="E46" s="170" t="s">
        <v>91</v>
      </c>
      <c r="F46" s="170" t="s">
        <v>91</v>
      </c>
    </row>
    <row r="47">
      <c r="A47" s="172" t="s">
        <v>613</v>
      </c>
      <c r="B47" s="172" t="s">
        <v>614</v>
      </c>
      <c r="C47" s="172" t="s">
        <v>328</v>
      </c>
      <c r="D47" s="172" t="s">
        <v>613</v>
      </c>
      <c r="E47" s="172" t="s">
        <v>615</v>
      </c>
      <c r="F47" s="172" t="s">
        <v>615</v>
      </c>
    </row>
    <row r="48">
      <c r="A48" s="172" t="s">
        <v>285</v>
      </c>
      <c r="B48" s="172" t="s">
        <v>616</v>
      </c>
      <c r="C48" s="172" t="s">
        <v>289</v>
      </c>
      <c r="D48" s="172" t="s">
        <v>285</v>
      </c>
      <c r="E48" s="172" t="s">
        <v>287</v>
      </c>
      <c r="F48" s="172" t="s">
        <v>287</v>
      </c>
    </row>
    <row r="49">
      <c r="A49" s="172" t="s">
        <v>330</v>
      </c>
      <c r="B49" s="172" t="s">
        <v>617</v>
      </c>
      <c r="C49" s="172" t="s">
        <v>334</v>
      </c>
      <c r="D49" s="172" t="s">
        <v>618</v>
      </c>
      <c r="E49" s="170" t="s">
        <v>91</v>
      </c>
      <c r="F49" s="170" t="s">
        <v>91</v>
      </c>
    </row>
    <row r="50">
      <c r="A50" s="172" t="s">
        <v>352</v>
      </c>
      <c r="B50" s="172" t="s">
        <v>619</v>
      </c>
      <c r="C50" s="172" t="s">
        <v>358</v>
      </c>
      <c r="D50" s="172" t="s">
        <v>620</v>
      </c>
      <c r="E50" s="170" t="s">
        <v>91</v>
      </c>
      <c r="F50" s="170" t="s">
        <v>91</v>
      </c>
    </row>
    <row r="51">
      <c r="A51" s="172" t="s">
        <v>187</v>
      </c>
      <c r="B51" s="172" t="s">
        <v>621</v>
      </c>
      <c r="C51" s="172" t="s">
        <v>191</v>
      </c>
      <c r="D51" s="172" t="s">
        <v>622</v>
      </c>
      <c r="E51" s="170" t="s">
        <v>91</v>
      </c>
      <c r="F51" s="170" t="s">
        <v>91</v>
      </c>
    </row>
    <row r="52">
      <c r="A52" s="172" t="s">
        <v>367</v>
      </c>
      <c r="B52" s="172" t="s">
        <v>623</v>
      </c>
      <c r="C52" s="172" t="s">
        <v>371</v>
      </c>
      <c r="D52" s="172" t="s">
        <v>624</v>
      </c>
      <c r="E52" s="170" t="s">
        <v>91</v>
      </c>
      <c r="F52" s="170" t="s">
        <v>91</v>
      </c>
    </row>
    <row r="53">
      <c r="A53" s="172" t="s">
        <v>164</v>
      </c>
      <c r="B53" s="172" t="s">
        <v>625</v>
      </c>
      <c r="C53" s="172" t="s">
        <v>168</v>
      </c>
      <c r="D53" s="172" t="s">
        <v>626</v>
      </c>
      <c r="E53" s="170" t="s">
        <v>91</v>
      </c>
      <c r="F53" s="170" t="s">
        <v>91</v>
      </c>
    </row>
    <row r="54">
      <c r="A54" s="172" t="s">
        <v>308</v>
      </c>
      <c r="B54" s="172" t="s">
        <v>627</v>
      </c>
      <c r="C54" s="172" t="s">
        <v>312</v>
      </c>
      <c r="D54" s="172" t="s">
        <v>628</v>
      </c>
      <c r="E54" s="172" t="s">
        <v>310</v>
      </c>
      <c r="F54" s="172" t="s">
        <v>310</v>
      </c>
    </row>
    <row r="55">
      <c r="A55" s="172" t="s">
        <v>24</v>
      </c>
      <c r="B55" s="172" t="s">
        <v>629</v>
      </c>
      <c r="C55" s="172" t="s">
        <v>36</v>
      </c>
      <c r="D55" s="172" t="s">
        <v>630</v>
      </c>
      <c r="E55" s="170" t="s">
        <v>91</v>
      </c>
      <c r="F55" s="170" t="s">
        <v>91</v>
      </c>
    </row>
    <row r="56">
      <c r="A56" s="172" t="s">
        <v>631</v>
      </c>
      <c r="B56" s="172" t="s">
        <v>632</v>
      </c>
      <c r="C56" s="172" t="s">
        <v>633</v>
      </c>
      <c r="D56" s="172" t="s">
        <v>634</v>
      </c>
      <c r="E56" s="170" t="s">
        <v>91</v>
      </c>
      <c r="F56" s="170" t="s">
        <v>91</v>
      </c>
    </row>
    <row r="57">
      <c r="A57" s="172" t="s">
        <v>635</v>
      </c>
      <c r="B57" s="170" t="s">
        <v>91</v>
      </c>
      <c r="C57" s="170" t="s">
        <v>91</v>
      </c>
      <c r="D57" s="170" t="s">
        <v>91</v>
      </c>
      <c r="E57" s="170" t="s">
        <v>91</v>
      </c>
      <c r="F57" s="170" t="s">
        <v>91</v>
      </c>
    </row>
    <row r="58">
      <c r="A58" s="172" t="s">
        <v>372</v>
      </c>
      <c r="B58" s="172" t="s">
        <v>636</v>
      </c>
      <c r="C58" s="172" t="s">
        <v>637</v>
      </c>
      <c r="D58" s="172" t="s">
        <v>638</v>
      </c>
      <c r="E58" s="170" t="s">
        <v>91</v>
      </c>
      <c r="F58" s="170" t="s">
        <v>91</v>
      </c>
    </row>
    <row r="59">
      <c r="A59" s="172" t="s">
        <v>240</v>
      </c>
      <c r="B59" s="172" t="s">
        <v>639</v>
      </c>
      <c r="C59" s="172" t="s">
        <v>244</v>
      </c>
      <c r="D59" s="172" t="s">
        <v>640</v>
      </c>
      <c r="E59" s="170" t="s">
        <v>91</v>
      </c>
      <c r="F59" s="170" t="s">
        <v>91</v>
      </c>
    </row>
    <row r="60">
      <c r="A60" s="172" t="s">
        <v>412</v>
      </c>
      <c r="B60" s="172" t="s">
        <v>641</v>
      </c>
      <c r="C60" s="172" t="s">
        <v>416</v>
      </c>
      <c r="D60" s="172" t="s">
        <v>642</v>
      </c>
      <c r="E60" s="172" t="s">
        <v>414</v>
      </c>
      <c r="F60" s="172" t="s">
        <v>414</v>
      </c>
    </row>
    <row r="61">
      <c r="A61" s="172" t="s">
        <v>235</v>
      </c>
      <c r="B61" s="172" t="s">
        <v>643</v>
      </c>
      <c r="C61" s="172" t="s">
        <v>239</v>
      </c>
      <c r="D61" s="172" t="s">
        <v>644</v>
      </c>
      <c r="E61" s="170" t="s">
        <v>91</v>
      </c>
      <c r="F61" s="170" t="s">
        <v>91</v>
      </c>
    </row>
    <row r="62">
      <c r="A62" s="172" t="s">
        <v>645</v>
      </c>
      <c r="B62" s="172" t="s">
        <v>646</v>
      </c>
      <c r="C62" s="172" t="s">
        <v>647</v>
      </c>
      <c r="D62" s="172" t="s">
        <v>648</v>
      </c>
      <c r="E62" s="170" t="s">
        <v>91</v>
      </c>
      <c r="F62" s="170" t="s">
        <v>91</v>
      </c>
    </row>
    <row r="63">
      <c r="A63" s="172" t="s">
        <v>394</v>
      </c>
      <c r="B63" s="172" t="s">
        <v>649</v>
      </c>
      <c r="C63" s="172" t="s">
        <v>397</v>
      </c>
      <c r="D63" s="172" t="s">
        <v>650</v>
      </c>
      <c r="E63" s="170" t="s">
        <v>91</v>
      </c>
      <c r="F63" s="170" t="s">
        <v>91</v>
      </c>
    </row>
    <row r="64">
      <c r="A64" s="172" t="s">
        <v>651</v>
      </c>
      <c r="B64" s="170" t="s">
        <v>91</v>
      </c>
      <c r="C64" s="170" t="s">
        <v>91</v>
      </c>
      <c r="D64" s="170" t="s">
        <v>91</v>
      </c>
      <c r="E64" s="170" t="s">
        <v>91</v>
      </c>
      <c r="F64" s="170" t="s">
        <v>91</v>
      </c>
    </row>
    <row r="65">
      <c r="A65" s="172" t="s">
        <v>473</v>
      </c>
      <c r="B65" s="172" t="s">
        <v>652</v>
      </c>
      <c r="C65" s="172" t="s">
        <v>477</v>
      </c>
      <c r="D65" s="172" t="s">
        <v>653</v>
      </c>
      <c r="E65" s="172" t="s">
        <v>475</v>
      </c>
      <c r="F65" s="172" t="s">
        <v>475</v>
      </c>
    </row>
    <row r="66">
      <c r="A66" s="172" t="s">
        <v>169</v>
      </c>
      <c r="B66" s="172" t="s">
        <v>654</v>
      </c>
      <c r="C66" s="172" t="s">
        <v>175</v>
      </c>
      <c r="D66" s="172" t="s">
        <v>655</v>
      </c>
      <c r="E66" s="170" t="s">
        <v>91</v>
      </c>
      <c r="F66" s="170" t="s">
        <v>91</v>
      </c>
    </row>
    <row r="67">
      <c r="A67" s="172" t="s">
        <v>203</v>
      </c>
      <c r="B67" s="172" t="s">
        <v>656</v>
      </c>
      <c r="C67" s="172" t="s">
        <v>207</v>
      </c>
      <c r="D67" s="172" t="s">
        <v>657</v>
      </c>
      <c r="E67" s="170" t="s">
        <v>91</v>
      </c>
      <c r="F67" s="170" t="s">
        <v>91</v>
      </c>
    </row>
    <row r="68">
      <c r="A68" s="172" t="s">
        <v>483</v>
      </c>
      <c r="B68" s="172" t="s">
        <v>658</v>
      </c>
      <c r="C68" s="172" t="s">
        <v>487</v>
      </c>
      <c r="D68" s="172" t="s">
        <v>659</v>
      </c>
      <c r="E68" s="172" t="s">
        <v>485</v>
      </c>
      <c r="F68" s="172" t="s">
        <v>485</v>
      </c>
    </row>
    <row r="69">
      <c r="A69" s="172" t="s">
        <v>296</v>
      </c>
      <c r="B69" s="172" t="s">
        <v>660</v>
      </c>
      <c r="C69" s="172" t="s">
        <v>300</v>
      </c>
      <c r="D69" s="172" t="s">
        <v>661</v>
      </c>
      <c r="E69" s="172" t="s">
        <v>298</v>
      </c>
      <c r="F69" s="172" t="s">
        <v>298</v>
      </c>
    </row>
    <row r="70">
      <c r="A70" s="172" t="s">
        <v>478</v>
      </c>
      <c r="B70" s="172" t="s">
        <v>662</v>
      </c>
      <c r="C70" s="172" t="s">
        <v>482</v>
      </c>
      <c r="D70" s="172" t="s">
        <v>663</v>
      </c>
      <c r="E70" s="172" t="s">
        <v>480</v>
      </c>
      <c r="F70" s="172" t="s">
        <v>480</v>
      </c>
    </row>
    <row r="71">
      <c r="A71" s="172" t="s">
        <v>69</v>
      </c>
      <c r="B71" s="170" t="s">
        <v>91</v>
      </c>
      <c r="C71" s="172" t="s">
        <v>74</v>
      </c>
      <c r="D71" s="172" t="s">
        <v>664</v>
      </c>
      <c r="E71" s="170" t="s">
        <v>91</v>
      </c>
      <c r="F71" s="170" t="s">
        <v>91</v>
      </c>
    </row>
    <row r="72">
      <c r="A72" s="172" t="s">
        <v>214</v>
      </c>
      <c r="B72" s="172" t="s">
        <v>665</v>
      </c>
      <c r="C72" s="172" t="s">
        <v>218</v>
      </c>
      <c r="D72" s="172" t="s">
        <v>666</v>
      </c>
      <c r="E72" s="170" t="s">
        <v>91</v>
      </c>
      <c r="F72" s="170" t="s">
        <v>91</v>
      </c>
    </row>
    <row r="73">
      <c r="A73" s="172" t="s">
        <v>423</v>
      </c>
      <c r="B73" s="172" t="s">
        <v>667</v>
      </c>
      <c r="C73" s="172" t="s">
        <v>427</v>
      </c>
      <c r="D73" s="172" t="s">
        <v>668</v>
      </c>
      <c r="E73" s="172" t="s">
        <v>669</v>
      </c>
      <c r="F73" s="172" t="s">
        <v>669</v>
      </c>
    </row>
    <row r="74">
      <c r="A74" s="172" t="s">
        <v>458</v>
      </c>
      <c r="B74" s="172" t="s">
        <v>670</v>
      </c>
      <c r="C74" s="172" t="s">
        <v>463</v>
      </c>
      <c r="D74" s="172" t="s">
        <v>671</v>
      </c>
      <c r="E74" s="170" t="s">
        <v>91</v>
      </c>
      <c r="F74" s="170" t="s">
        <v>91</v>
      </c>
    </row>
    <row r="75">
      <c r="A75" s="172" t="s">
        <v>672</v>
      </c>
      <c r="B75" s="172" t="s">
        <v>673</v>
      </c>
      <c r="C75" s="172" t="s">
        <v>447</v>
      </c>
      <c r="D75" s="172" t="s">
        <v>674</v>
      </c>
      <c r="E75" s="172" t="s">
        <v>445</v>
      </c>
      <c r="F75" s="172" t="s">
        <v>445</v>
      </c>
    </row>
    <row r="76">
      <c r="A76" s="172" t="s">
        <v>193</v>
      </c>
      <c r="B76" s="172" t="s">
        <v>675</v>
      </c>
      <c r="C76" s="172" t="s">
        <v>197</v>
      </c>
      <c r="D76" s="172" t="s">
        <v>676</v>
      </c>
      <c r="E76" s="170" t="s">
        <v>91</v>
      </c>
      <c r="F76" s="170" t="s">
        <v>91</v>
      </c>
    </row>
    <row r="77">
      <c r="A77" s="172" t="s">
        <v>677</v>
      </c>
      <c r="B77" s="172" t="s">
        <v>678</v>
      </c>
      <c r="C77" s="172" t="s">
        <v>679</v>
      </c>
      <c r="D77" s="172" t="s">
        <v>680</v>
      </c>
      <c r="E77" s="170" t="s">
        <v>91</v>
      </c>
      <c r="F77" s="170" t="s">
        <v>91</v>
      </c>
    </row>
    <row r="78">
      <c r="A78" s="172" t="s">
        <v>408</v>
      </c>
      <c r="B78" s="172" t="s">
        <v>681</v>
      </c>
      <c r="C78" s="172" t="s">
        <v>411</v>
      </c>
      <c r="D78" s="172" t="s">
        <v>682</v>
      </c>
      <c r="E78" s="170" t="s">
        <v>91</v>
      </c>
      <c r="F78" s="170" t="s">
        <v>91</v>
      </c>
    </row>
    <row r="79">
      <c r="A79" s="172" t="s">
        <v>131</v>
      </c>
      <c r="B79" s="172" t="s">
        <v>683</v>
      </c>
      <c r="C79" s="172" t="s">
        <v>684</v>
      </c>
      <c r="D79" s="172" t="s">
        <v>685</v>
      </c>
      <c r="E79" s="170" t="s">
        <v>91</v>
      </c>
      <c r="F79" s="170" t="s">
        <v>91</v>
      </c>
    </row>
    <row r="80">
      <c r="A80" s="172" t="s">
        <v>686</v>
      </c>
      <c r="B80" s="172" t="s">
        <v>687</v>
      </c>
      <c r="C80" s="172" t="s">
        <v>688</v>
      </c>
      <c r="D80" s="172" t="s">
        <v>689</v>
      </c>
      <c r="E80" s="170" t="s">
        <v>91</v>
      </c>
      <c r="F80" s="170" t="s">
        <v>91</v>
      </c>
    </row>
    <row r="81">
      <c r="A81" s="172" t="s">
        <v>126</v>
      </c>
      <c r="B81" s="172" t="s">
        <v>690</v>
      </c>
      <c r="C81" s="172" t="s">
        <v>130</v>
      </c>
      <c r="D81" s="172" t="s">
        <v>691</v>
      </c>
      <c r="E81" s="170" t="s">
        <v>91</v>
      </c>
      <c r="F81" s="170" t="s">
        <v>91</v>
      </c>
    </row>
    <row r="82">
      <c r="A82" s="172" t="s">
        <v>147</v>
      </c>
      <c r="B82" s="172" t="s">
        <v>692</v>
      </c>
      <c r="C82" s="172" t="s">
        <v>151</v>
      </c>
      <c r="D82" s="172" t="s">
        <v>693</v>
      </c>
      <c r="E82" s="170" t="s">
        <v>91</v>
      </c>
      <c r="F82" s="170" t="s">
        <v>91</v>
      </c>
    </row>
    <row r="83">
      <c r="A83" s="172" t="s">
        <v>153</v>
      </c>
      <c r="B83" s="172" t="s">
        <v>694</v>
      </c>
      <c r="C83" s="172" t="s">
        <v>157</v>
      </c>
      <c r="D83" s="172" t="s">
        <v>695</v>
      </c>
      <c r="E83" s="170" t="s">
        <v>91</v>
      </c>
      <c r="F83" s="170" t="s">
        <v>91</v>
      </c>
    </row>
    <row r="84">
      <c r="A84" s="172" t="s">
        <v>141</v>
      </c>
      <c r="B84" s="172" t="s">
        <v>696</v>
      </c>
      <c r="C84" s="172" t="s">
        <v>145</v>
      </c>
      <c r="D84" s="172" t="s">
        <v>697</v>
      </c>
      <c r="E84" s="170" t="s">
        <v>91</v>
      </c>
      <c r="F84" s="170" t="s">
        <v>91</v>
      </c>
    </row>
    <row r="85">
      <c r="A85" s="172" t="s">
        <v>136</v>
      </c>
      <c r="B85" s="172" t="s">
        <v>698</v>
      </c>
      <c r="C85" s="172" t="s">
        <v>140</v>
      </c>
      <c r="D85" s="172" t="s">
        <v>136</v>
      </c>
      <c r="E85" s="170" t="s">
        <v>91</v>
      </c>
      <c r="F85" s="170" t="s">
        <v>91</v>
      </c>
    </row>
    <row r="86">
      <c r="A86" s="172" t="s">
        <v>699</v>
      </c>
      <c r="B86" s="172" t="s">
        <v>700</v>
      </c>
      <c r="C86" s="172" t="s">
        <v>701</v>
      </c>
      <c r="D86" s="172" t="s">
        <v>702</v>
      </c>
      <c r="E86" s="170" t="s">
        <v>91</v>
      </c>
      <c r="F86" s="170" t="s">
        <v>91</v>
      </c>
    </row>
    <row r="87">
      <c r="A87" s="172" t="s">
        <v>703</v>
      </c>
      <c r="B87" s="172" t="s">
        <v>704</v>
      </c>
      <c r="C87" s="172" t="s">
        <v>705</v>
      </c>
      <c r="D87" s="172" t="s">
        <v>706</v>
      </c>
      <c r="E87" s="170" t="s">
        <v>91</v>
      </c>
      <c r="F87" s="170" t="s">
        <v>91</v>
      </c>
    </row>
    <row r="88">
      <c r="A88" s="172" t="s">
        <v>335</v>
      </c>
      <c r="B88" s="172" t="s">
        <v>707</v>
      </c>
      <c r="C88" s="172" t="s">
        <v>594</v>
      </c>
      <c r="D88" s="172" t="s">
        <v>708</v>
      </c>
      <c r="E88" s="170" t="s">
        <v>91</v>
      </c>
      <c r="F88" s="170" t="s">
        <v>91</v>
      </c>
    </row>
    <row r="89">
      <c r="A89" s="172" t="s">
        <v>275</v>
      </c>
      <c r="B89" s="170" t="s">
        <v>91</v>
      </c>
      <c r="C89" s="172" t="s">
        <v>279</v>
      </c>
      <c r="D89" s="172" t="s">
        <v>709</v>
      </c>
      <c r="E89" s="172" t="s">
        <v>277</v>
      </c>
      <c r="F89" s="172" t="s">
        <v>277</v>
      </c>
    </row>
    <row r="90">
      <c r="A90" s="172" t="s">
        <v>501</v>
      </c>
      <c r="B90" s="172" t="s">
        <v>710</v>
      </c>
      <c r="C90" s="172" t="s">
        <v>506</v>
      </c>
      <c r="D90" s="172" t="s">
        <v>711</v>
      </c>
      <c r="E90" s="172" t="s">
        <v>712</v>
      </c>
      <c r="F90" s="172" t="s">
        <v>712</v>
      </c>
    </row>
    <row r="91">
      <c r="A91" s="172" t="s">
        <v>713</v>
      </c>
      <c r="B91" s="170" t="s">
        <v>91</v>
      </c>
      <c r="C91" s="170" t="s">
        <v>91</v>
      </c>
      <c r="D91" s="170" t="s">
        <v>91</v>
      </c>
      <c r="E91" s="170" t="s">
        <v>91</v>
      </c>
      <c r="F91" s="170" t="s">
        <v>91</v>
      </c>
    </row>
    <row r="92">
      <c r="A92" s="172" t="s">
        <v>360</v>
      </c>
      <c r="B92" s="172" t="s">
        <v>714</v>
      </c>
      <c r="C92" s="172" t="s">
        <v>365</v>
      </c>
      <c r="D92" s="172" t="s">
        <v>715</v>
      </c>
      <c r="E92" s="172" t="s">
        <v>363</v>
      </c>
      <c r="F92" s="172" t="s">
        <v>363</v>
      </c>
    </row>
    <row r="93">
      <c r="A93" s="172" t="s">
        <v>417</v>
      </c>
      <c r="B93" s="172" t="s">
        <v>716</v>
      </c>
      <c r="C93" s="172" t="s">
        <v>422</v>
      </c>
      <c r="D93" s="172" t="s">
        <v>717</v>
      </c>
      <c r="E93" s="172" t="s">
        <v>420</v>
      </c>
      <c r="F93" s="172" t="s">
        <v>420</v>
      </c>
    </row>
    <row r="94">
      <c r="A94" s="172" t="s">
        <v>718</v>
      </c>
      <c r="B94" s="172" t="s">
        <v>719</v>
      </c>
      <c r="C94" s="172" t="s">
        <v>720</v>
      </c>
      <c r="D94" s="172" t="s">
        <v>721</v>
      </c>
      <c r="E94" s="172" t="s">
        <v>722</v>
      </c>
      <c r="F94" s="172" t="s">
        <v>722</v>
      </c>
    </row>
    <row r="95">
      <c r="A95" s="172" t="s">
        <v>723</v>
      </c>
      <c r="B95" s="172" t="s">
        <v>724</v>
      </c>
      <c r="C95" s="172" t="s">
        <v>725</v>
      </c>
      <c r="D95" s="172" t="s">
        <v>726</v>
      </c>
      <c r="E95" s="172" t="s">
        <v>539</v>
      </c>
      <c r="F95" s="172" t="s">
        <v>539</v>
      </c>
    </row>
    <row r="96">
      <c r="A96" s="172" t="s">
        <v>727</v>
      </c>
      <c r="B96" s="170" t="s">
        <v>91</v>
      </c>
      <c r="C96" s="172" t="s">
        <v>728</v>
      </c>
      <c r="D96" s="170" t="s">
        <v>91</v>
      </c>
      <c r="E96" s="172" t="s">
        <v>729</v>
      </c>
      <c r="F96" s="172" t="s">
        <v>729</v>
      </c>
    </row>
    <row r="97">
      <c r="A97" s="172" t="s">
        <v>280</v>
      </c>
      <c r="B97" s="172" t="s">
        <v>730</v>
      </c>
      <c r="C97" s="172" t="s">
        <v>284</v>
      </c>
      <c r="D97" s="172" t="s">
        <v>731</v>
      </c>
      <c r="E97" s="172" t="s">
        <v>282</v>
      </c>
      <c r="F97" s="172" t="s">
        <v>282</v>
      </c>
    </row>
    <row r="98">
      <c r="A98" s="172" t="s">
        <v>493</v>
      </c>
      <c r="B98" s="172" t="s">
        <v>732</v>
      </c>
      <c r="C98" s="172" t="s">
        <v>497</v>
      </c>
      <c r="D98" s="172" t="s">
        <v>733</v>
      </c>
      <c r="E98" s="172" t="s">
        <v>495</v>
      </c>
      <c r="F98" s="172" t="s">
        <v>495</v>
      </c>
    </row>
    <row r="99">
      <c r="A99" s="172" t="s">
        <v>734</v>
      </c>
      <c r="B99" s="172" t="s">
        <v>735</v>
      </c>
      <c r="C99" s="172" t="s">
        <v>736</v>
      </c>
      <c r="D99" s="172" t="s">
        <v>737</v>
      </c>
      <c r="E99" s="172" t="s">
        <v>738</v>
      </c>
      <c r="F99" s="172" t="s">
        <v>738</v>
      </c>
    </row>
    <row r="100">
      <c r="A100" s="172" t="s">
        <v>739</v>
      </c>
      <c r="B100" s="170" t="s">
        <v>91</v>
      </c>
      <c r="C100" s="170" t="s">
        <v>91</v>
      </c>
      <c r="D100" s="170" t="s">
        <v>91</v>
      </c>
      <c r="E100" s="170" t="s">
        <v>91</v>
      </c>
      <c r="F100" s="170" t="s">
        <v>91</v>
      </c>
    </row>
    <row r="101">
      <c r="A101" s="172" t="s">
        <v>740</v>
      </c>
      <c r="B101" s="172" t="s">
        <v>741</v>
      </c>
      <c r="C101" s="172" t="s">
        <v>111</v>
      </c>
      <c r="D101" s="172" t="s">
        <v>742</v>
      </c>
      <c r="E101" s="170" t="s">
        <v>91</v>
      </c>
      <c r="F101" s="170" t="s">
        <v>91</v>
      </c>
    </row>
    <row r="102">
      <c r="A102" s="172" t="s">
        <v>209</v>
      </c>
      <c r="B102" s="172" t="s">
        <v>743</v>
      </c>
      <c r="C102" s="172" t="s">
        <v>212</v>
      </c>
      <c r="D102" s="172" t="s">
        <v>744</v>
      </c>
      <c r="E102" s="170" t="s">
        <v>91</v>
      </c>
      <c r="F102" s="170" t="s">
        <v>91</v>
      </c>
    </row>
    <row r="103">
      <c r="A103" s="172" t="s">
        <v>508</v>
      </c>
      <c r="B103" s="172" t="s">
        <v>745</v>
      </c>
      <c r="C103" s="172" t="s">
        <v>511</v>
      </c>
      <c r="D103" s="172" t="s">
        <v>746</v>
      </c>
      <c r="E103" s="172" t="s">
        <v>509</v>
      </c>
      <c r="F103" s="172" t="s">
        <v>509</v>
      </c>
    </row>
    <row r="104">
      <c r="A104" s="172" t="s">
        <v>382</v>
      </c>
      <c r="B104" s="172" t="s">
        <v>747</v>
      </c>
      <c r="C104" s="172" t="s">
        <v>386</v>
      </c>
      <c r="D104" s="172" t="s">
        <v>748</v>
      </c>
      <c r="E104" s="170" t="s">
        <v>91</v>
      </c>
      <c r="F104" s="170" t="s">
        <v>91</v>
      </c>
    </row>
    <row r="105">
      <c r="A105" s="172" t="s">
        <v>399</v>
      </c>
      <c r="B105" s="172" t="s">
        <v>749</v>
      </c>
      <c r="C105" s="172" t="s">
        <v>402</v>
      </c>
      <c r="D105" s="172" t="s">
        <v>750</v>
      </c>
      <c r="E105" s="170" t="s">
        <v>91</v>
      </c>
      <c r="F105" s="170" t="s">
        <v>91</v>
      </c>
    </row>
    <row r="106">
      <c r="A106" s="172" t="s">
        <v>113</v>
      </c>
      <c r="B106" s="172" t="s">
        <v>751</v>
      </c>
      <c r="C106" s="172" t="s">
        <v>119</v>
      </c>
      <c r="D106" s="172" t="s">
        <v>752</v>
      </c>
      <c r="E106" s="175" t="s">
        <v>117</v>
      </c>
      <c r="F106" s="175" t="s">
        <v>117</v>
      </c>
    </row>
    <row r="107">
      <c r="A107" s="172" t="s">
        <v>182</v>
      </c>
      <c r="B107" s="172" t="s">
        <v>753</v>
      </c>
      <c r="C107" s="172" t="s">
        <v>186</v>
      </c>
      <c r="D107" s="172" t="s">
        <v>754</v>
      </c>
      <c r="E107" s="170" t="s">
        <v>91</v>
      </c>
      <c r="F107" s="170" t="s">
        <v>91</v>
      </c>
    </row>
    <row r="108">
      <c r="A108" s="172" t="s">
        <v>176</v>
      </c>
      <c r="B108" s="172" t="s">
        <v>755</v>
      </c>
      <c r="C108" s="172" t="s">
        <v>180</v>
      </c>
      <c r="D108" s="172" t="s">
        <v>756</v>
      </c>
      <c r="E108" s="170" t="s">
        <v>91</v>
      </c>
      <c r="F108" s="170" t="s">
        <v>91</v>
      </c>
    </row>
    <row r="109">
      <c r="A109" s="172" t="s">
        <v>219</v>
      </c>
      <c r="B109" s="172" t="s">
        <v>757</v>
      </c>
      <c r="C109" s="172" t="s">
        <v>223</v>
      </c>
      <c r="D109" s="172" t="s">
        <v>758</v>
      </c>
      <c r="E109" s="170" t="s">
        <v>91</v>
      </c>
      <c r="F109" s="170" t="s">
        <v>91</v>
      </c>
    </row>
    <row r="110">
      <c r="A110" s="172" t="s">
        <v>448</v>
      </c>
      <c r="B110" s="172" t="s">
        <v>759</v>
      </c>
      <c r="C110" s="172" t="s">
        <v>452</v>
      </c>
      <c r="D110" s="172" t="s">
        <v>760</v>
      </c>
      <c r="E110" s="172" t="s">
        <v>761</v>
      </c>
      <c r="F110" s="172" t="s">
        <v>761</v>
      </c>
    </row>
    <row r="111">
      <c r="A111" s="172" t="s">
        <v>762</v>
      </c>
      <c r="B111" s="172" t="s">
        <v>763</v>
      </c>
      <c r="C111" s="172" t="s">
        <v>228</v>
      </c>
      <c r="D111" s="172" t="s">
        <v>764</v>
      </c>
      <c r="E111" s="170" t="s">
        <v>91</v>
      </c>
      <c r="F111" s="170" t="s">
        <v>91</v>
      </c>
    </row>
    <row r="112">
      <c r="A112" s="172" t="s">
        <v>301</v>
      </c>
      <c r="B112" s="170" t="s">
        <v>91</v>
      </c>
      <c r="C112" s="172" t="s">
        <v>306</v>
      </c>
      <c r="D112" s="170" t="s">
        <v>91</v>
      </c>
      <c r="E112" s="172" t="s">
        <v>304</v>
      </c>
      <c r="F112" s="172" t="s">
        <v>304</v>
      </c>
    </row>
    <row r="113">
      <c r="A113" s="172" t="s">
        <v>765</v>
      </c>
      <c r="B113" s="170" t="s">
        <v>91</v>
      </c>
      <c r="C113" s="170" t="s">
        <v>91</v>
      </c>
      <c r="D113" s="170" t="s">
        <v>91</v>
      </c>
      <c r="E113" s="170" t="s">
        <v>91</v>
      </c>
      <c r="F113" s="170" t="s">
        <v>91</v>
      </c>
    </row>
    <row r="114">
      <c r="A114" s="172" t="s">
        <v>766</v>
      </c>
      <c r="B114" s="170" t="s">
        <v>91</v>
      </c>
      <c r="C114" s="170" t="s">
        <v>91</v>
      </c>
      <c r="D114" s="170" t="s">
        <v>91</v>
      </c>
      <c r="E114" s="170" t="s">
        <v>91</v>
      </c>
      <c r="F114" s="170" t="s">
        <v>91</v>
      </c>
    </row>
    <row r="115">
      <c r="A115" s="172" t="s">
        <v>767</v>
      </c>
      <c r="B115" s="170" t="s">
        <v>91</v>
      </c>
      <c r="C115" s="170" t="s">
        <v>91</v>
      </c>
      <c r="D115" s="170" t="s">
        <v>91</v>
      </c>
      <c r="E115" s="170" t="s">
        <v>91</v>
      </c>
      <c r="F115" s="170" t="s">
        <v>91</v>
      </c>
    </row>
    <row r="116">
      <c r="A116" s="172" t="s">
        <v>768</v>
      </c>
      <c r="B116" s="170" t="s">
        <v>91</v>
      </c>
      <c r="C116" s="170" t="s">
        <v>91</v>
      </c>
      <c r="D116" s="170" t="s">
        <v>91</v>
      </c>
      <c r="E116" s="170" t="s">
        <v>91</v>
      </c>
      <c r="F116" s="170" t="s">
        <v>91</v>
      </c>
    </row>
    <row r="117">
      <c r="A117" s="172" t="s">
        <v>769</v>
      </c>
      <c r="B117" s="170" t="s">
        <v>91</v>
      </c>
      <c r="C117" s="170" t="s">
        <v>91</v>
      </c>
      <c r="D117" s="170" t="s">
        <v>91</v>
      </c>
      <c r="E117" s="170" t="s">
        <v>91</v>
      </c>
      <c r="F117" s="170" t="s">
        <v>91</v>
      </c>
    </row>
    <row r="118">
      <c r="A118" s="172" t="s">
        <v>377</v>
      </c>
      <c r="B118" s="172" t="s">
        <v>770</v>
      </c>
      <c r="C118" s="172" t="s">
        <v>381</v>
      </c>
      <c r="D118" s="172" t="s">
        <v>771</v>
      </c>
      <c r="E118" s="170" t="s">
        <v>91</v>
      </c>
      <c r="F118" s="170" t="s">
        <v>91</v>
      </c>
    </row>
    <row r="119">
      <c r="A119" s="172" t="s">
        <v>772</v>
      </c>
      <c r="B119" s="170" t="s">
        <v>91</v>
      </c>
      <c r="C119" s="170" t="s">
        <v>91</v>
      </c>
      <c r="D119" s="172" t="s">
        <v>773</v>
      </c>
      <c r="E119" s="170" t="s">
        <v>91</v>
      </c>
      <c r="F119" s="170" t="s">
        <v>91</v>
      </c>
    </row>
    <row r="120">
      <c r="A120" s="172" t="s">
        <v>774</v>
      </c>
      <c r="B120" s="170" t="s">
        <v>91</v>
      </c>
      <c r="C120" s="170" t="s">
        <v>91</v>
      </c>
      <c r="D120" s="170" t="s">
        <v>91</v>
      </c>
      <c r="E120" s="170" t="s">
        <v>91</v>
      </c>
      <c r="F120" s="170" t="s">
        <v>91</v>
      </c>
    </row>
    <row r="121">
      <c r="A121" s="172" t="s">
        <v>775</v>
      </c>
      <c r="B121" s="170" t="s">
        <v>91</v>
      </c>
      <c r="C121" s="170" t="s">
        <v>91</v>
      </c>
      <c r="D121" s="172" t="s">
        <v>776</v>
      </c>
      <c r="E121" s="170" t="s">
        <v>91</v>
      </c>
      <c r="F121" s="170" t="s">
        <v>91</v>
      </c>
    </row>
    <row r="122">
      <c r="A122" s="172" t="s">
        <v>777</v>
      </c>
      <c r="B122" s="170" t="s">
        <v>91</v>
      </c>
      <c r="C122" s="170" t="s">
        <v>91</v>
      </c>
      <c r="D122" s="172" t="s">
        <v>778</v>
      </c>
      <c r="E122" s="170" t="s">
        <v>91</v>
      </c>
      <c r="F122" s="170" t="s">
        <v>91</v>
      </c>
    </row>
    <row r="123">
      <c r="A123" s="172" t="s">
        <v>291</v>
      </c>
      <c r="B123" s="172" t="s">
        <v>779</v>
      </c>
      <c r="C123" s="172" t="s">
        <v>295</v>
      </c>
      <c r="D123" s="172" t="s">
        <v>780</v>
      </c>
      <c r="E123" s="172" t="s">
        <v>293</v>
      </c>
      <c r="F123" s="172" t="s">
        <v>293</v>
      </c>
    </row>
    <row r="124">
      <c r="A124" s="172" t="s">
        <v>67</v>
      </c>
      <c r="B124" s="172" t="s">
        <v>781</v>
      </c>
      <c r="C124" s="172" t="s">
        <v>66</v>
      </c>
      <c r="D124" s="172" t="s">
        <v>782</v>
      </c>
      <c r="E124" s="170" t="s">
        <v>91</v>
      </c>
      <c r="F124" s="170" t="s">
        <v>91</v>
      </c>
    </row>
    <row r="125">
      <c r="A125" s="172" t="s">
        <v>783</v>
      </c>
      <c r="B125" s="170" t="s">
        <v>91</v>
      </c>
      <c r="C125" s="172" t="s">
        <v>82</v>
      </c>
      <c r="D125" s="172" t="s">
        <v>784</v>
      </c>
      <c r="E125" s="170" t="s">
        <v>91</v>
      </c>
      <c r="F125" s="170" t="s">
        <v>91</v>
      </c>
    </row>
    <row r="126">
      <c r="A126" s="172" t="s">
        <v>272</v>
      </c>
      <c r="B126" s="170" t="s">
        <v>91</v>
      </c>
      <c r="C126" s="172" t="s">
        <v>274</v>
      </c>
      <c r="D126" s="172" t="s">
        <v>785</v>
      </c>
      <c r="E126" s="170" t="s">
        <v>91</v>
      </c>
      <c r="F126" s="170" t="s">
        <v>91</v>
      </c>
    </row>
    <row r="127">
      <c r="A127" s="172" t="s">
        <v>319</v>
      </c>
      <c r="B127" s="172" t="s">
        <v>786</v>
      </c>
      <c r="C127" s="172" t="s">
        <v>323</v>
      </c>
      <c r="D127" s="172" t="s">
        <v>787</v>
      </c>
      <c r="E127" s="170" t="s">
        <v>91</v>
      </c>
      <c r="F127" s="170" t="s">
        <v>91</v>
      </c>
    </row>
    <row r="128">
      <c r="A128" s="170"/>
      <c r="B128" s="170"/>
      <c r="C128" s="170"/>
      <c r="D128" s="170"/>
      <c r="E128" s="170"/>
      <c r="F128" s="170"/>
    </row>
    <row r="129">
      <c r="A129" s="170"/>
      <c r="B129" s="170"/>
      <c r="C129" s="170"/>
      <c r="D129" s="170"/>
      <c r="E129" s="170"/>
      <c r="F129" s="170"/>
    </row>
    <row r="130">
      <c r="A130" s="170"/>
      <c r="B130" s="170"/>
      <c r="C130" s="170"/>
      <c r="D130" s="170"/>
      <c r="E130" s="170"/>
      <c r="F130" s="170"/>
    </row>
    <row r="131">
      <c r="A131" s="176" t="s">
        <v>788</v>
      </c>
    </row>
    <row r="132">
      <c r="A132" s="170"/>
      <c r="B132" s="170"/>
      <c r="C132" s="170"/>
      <c r="D132" s="170"/>
      <c r="E132" s="170"/>
      <c r="F132" s="170"/>
    </row>
    <row r="133">
      <c r="A133" s="170"/>
      <c r="B133" s="170"/>
      <c r="C133" s="170"/>
      <c r="D133" s="170"/>
      <c r="E133" s="170"/>
      <c r="F133" s="170"/>
    </row>
  </sheetData>
  <mergeCells count="3">
    <mergeCell ref="A1:F1"/>
    <mergeCell ref="A2:F2"/>
    <mergeCell ref="A131:F1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38"/>
    <col customWidth="1" min="6" max="6" width="15.88"/>
  </cols>
  <sheetData>
    <row r="1">
      <c r="A1" s="168" t="s">
        <v>789</v>
      </c>
    </row>
    <row r="2">
      <c r="A2" s="169" t="s">
        <v>523</v>
      </c>
    </row>
    <row r="3">
      <c r="A3" s="177" t="s">
        <v>790</v>
      </c>
    </row>
    <row r="4">
      <c r="A4" s="170"/>
      <c r="B4" s="170"/>
      <c r="C4" s="170"/>
      <c r="D4" s="170"/>
      <c r="E4" s="170"/>
      <c r="F4" s="170"/>
      <c r="G4" s="170"/>
      <c r="H4" s="170"/>
      <c r="I4" s="170"/>
    </row>
    <row r="5">
      <c r="A5" s="171" t="s">
        <v>791</v>
      </c>
      <c r="B5" s="171" t="s">
        <v>4</v>
      </c>
      <c r="C5" s="171" t="s">
        <v>5</v>
      </c>
      <c r="D5" s="171" t="s">
        <v>792</v>
      </c>
      <c r="E5" s="170"/>
      <c r="F5" s="171" t="s">
        <v>793</v>
      </c>
      <c r="G5" s="171" t="s">
        <v>6</v>
      </c>
      <c r="H5" s="171" t="s">
        <v>7</v>
      </c>
      <c r="I5" s="171" t="s">
        <v>8</v>
      </c>
    </row>
    <row r="6">
      <c r="A6" s="178">
        <v>45050.0</v>
      </c>
      <c r="B6" s="172" t="s">
        <v>27</v>
      </c>
      <c r="C6" s="172" t="s">
        <v>28</v>
      </c>
      <c r="D6" s="172" t="s">
        <v>24</v>
      </c>
      <c r="E6" s="170" t="s">
        <v>91</v>
      </c>
      <c r="F6" s="170" t="s">
        <v>91</v>
      </c>
      <c r="G6" s="179">
        <v>45777.0</v>
      </c>
      <c r="H6" s="180">
        <v>375.73</v>
      </c>
      <c r="I6" s="180">
        <v>0.0</v>
      </c>
    </row>
    <row r="7">
      <c r="A7" s="178">
        <v>45051.0</v>
      </c>
      <c r="B7" s="172" t="s">
        <v>27</v>
      </c>
      <c r="C7" s="172" t="s">
        <v>42</v>
      </c>
      <c r="D7" s="172" t="s">
        <v>40</v>
      </c>
      <c r="E7" s="170" t="s">
        <v>91</v>
      </c>
      <c r="F7" s="170" t="s">
        <v>91</v>
      </c>
      <c r="G7" s="179">
        <v>45786.0</v>
      </c>
      <c r="H7" s="180">
        <v>429.4</v>
      </c>
      <c r="I7" s="180">
        <v>0.0</v>
      </c>
    </row>
    <row r="8">
      <c r="A8" s="178">
        <v>45054.0</v>
      </c>
      <c r="B8" s="172" t="s">
        <v>27</v>
      </c>
      <c r="C8" s="172" t="s">
        <v>51</v>
      </c>
      <c r="D8" s="172" t="s">
        <v>50</v>
      </c>
      <c r="E8" s="170" t="s">
        <v>91</v>
      </c>
      <c r="F8" s="170" t="s">
        <v>91</v>
      </c>
      <c r="G8" s="179">
        <v>45512.0</v>
      </c>
      <c r="H8" s="180">
        <v>429.4</v>
      </c>
      <c r="I8" s="180">
        <v>0.0</v>
      </c>
    </row>
    <row r="9">
      <c r="A9" s="178">
        <v>45054.0</v>
      </c>
      <c r="B9" s="172" t="s">
        <v>27</v>
      </c>
      <c r="C9" s="172" t="s">
        <v>60</v>
      </c>
      <c r="D9" s="172" t="s">
        <v>67</v>
      </c>
      <c r="E9" s="170"/>
      <c r="F9" s="170" t="s">
        <v>91</v>
      </c>
      <c r="G9" s="179">
        <v>45777.0</v>
      </c>
      <c r="H9" s="180">
        <v>429.4</v>
      </c>
      <c r="I9" s="180">
        <v>0.0</v>
      </c>
    </row>
    <row r="10">
      <c r="A10" s="178">
        <v>45056.0</v>
      </c>
      <c r="B10" s="172" t="s">
        <v>27</v>
      </c>
      <c r="C10" s="172" t="s">
        <v>70</v>
      </c>
      <c r="D10" s="172" t="s">
        <v>69</v>
      </c>
      <c r="E10" s="170" t="s">
        <v>91</v>
      </c>
      <c r="F10" s="170" t="s">
        <v>91</v>
      </c>
      <c r="G10" s="179">
        <v>45303.0</v>
      </c>
      <c r="H10" s="180">
        <v>429.4</v>
      </c>
      <c r="I10" s="180">
        <v>0.0</v>
      </c>
    </row>
    <row r="11">
      <c r="A11" s="178">
        <v>45064.0</v>
      </c>
      <c r="B11" s="172" t="s">
        <v>27</v>
      </c>
      <c r="C11" s="172" t="s">
        <v>78</v>
      </c>
      <c r="D11" s="172" t="s">
        <v>783</v>
      </c>
      <c r="E11" s="170" t="s">
        <v>91</v>
      </c>
      <c r="F11" s="170" t="s">
        <v>91</v>
      </c>
      <c r="G11" s="179">
        <v>45777.0</v>
      </c>
      <c r="H11" s="180">
        <v>429.4</v>
      </c>
      <c r="I11" s="180">
        <v>0.0</v>
      </c>
    </row>
    <row r="12">
      <c r="A12" s="178">
        <v>45076.0</v>
      </c>
      <c r="B12" s="172" t="s">
        <v>27</v>
      </c>
      <c r="C12" s="172" t="s">
        <v>347</v>
      </c>
      <c r="D12" s="172" t="s">
        <v>345</v>
      </c>
      <c r="E12" s="170" t="s">
        <v>91</v>
      </c>
      <c r="F12" s="170" t="s">
        <v>91</v>
      </c>
      <c r="G12" s="179">
        <v>45900.0</v>
      </c>
      <c r="H12" s="180">
        <v>429.4</v>
      </c>
      <c r="I12" s="180">
        <v>429.4</v>
      </c>
    </row>
    <row r="13">
      <c r="A13" s="178">
        <v>45082.0</v>
      </c>
      <c r="B13" s="172" t="s">
        <v>27</v>
      </c>
      <c r="C13" s="172" t="s">
        <v>86</v>
      </c>
      <c r="D13" s="172" t="s">
        <v>85</v>
      </c>
      <c r="E13" s="170" t="s">
        <v>91</v>
      </c>
      <c r="F13" s="170" t="s">
        <v>91</v>
      </c>
      <c r="G13" s="179">
        <v>45777.0</v>
      </c>
      <c r="H13" s="180">
        <v>429.4</v>
      </c>
      <c r="I13" s="180">
        <v>0.0</v>
      </c>
    </row>
    <row r="14">
      <c r="A14" s="178">
        <v>45083.0</v>
      </c>
      <c r="B14" s="172" t="s">
        <v>27</v>
      </c>
      <c r="C14" s="172" t="s">
        <v>353</v>
      </c>
      <c r="D14" s="172" t="s">
        <v>352</v>
      </c>
      <c r="E14" s="170" t="s">
        <v>91</v>
      </c>
      <c r="F14" s="170" t="s">
        <v>91</v>
      </c>
      <c r="G14" s="179">
        <v>45792.0</v>
      </c>
      <c r="H14" s="180">
        <v>429.4</v>
      </c>
      <c r="I14" s="180">
        <v>429.4</v>
      </c>
    </row>
    <row r="15">
      <c r="A15" s="178">
        <v>45086.0</v>
      </c>
      <c r="B15" s="172" t="s">
        <v>27</v>
      </c>
      <c r="C15" s="172" t="s">
        <v>93</v>
      </c>
      <c r="D15" s="172" t="s">
        <v>92</v>
      </c>
      <c r="E15" s="170" t="s">
        <v>91</v>
      </c>
      <c r="F15" s="170" t="s">
        <v>91</v>
      </c>
      <c r="G15" s="179">
        <v>45787.0</v>
      </c>
      <c r="H15" s="180">
        <v>429.4</v>
      </c>
      <c r="I15" s="180">
        <v>429.4</v>
      </c>
    </row>
    <row r="16">
      <c r="A16" s="178">
        <v>45087.0</v>
      </c>
      <c r="B16" s="172" t="s">
        <v>27</v>
      </c>
      <c r="C16" s="172" t="s">
        <v>103</v>
      </c>
      <c r="D16" s="172" t="s">
        <v>102</v>
      </c>
      <c r="E16" s="170" t="s">
        <v>91</v>
      </c>
      <c r="F16" s="170" t="s">
        <v>91</v>
      </c>
      <c r="G16" s="179">
        <v>45786.0</v>
      </c>
      <c r="H16" s="180">
        <v>802.3</v>
      </c>
      <c r="I16" s="180">
        <v>0.0</v>
      </c>
    </row>
    <row r="17">
      <c r="A17" s="178">
        <v>45087.0</v>
      </c>
      <c r="B17" s="172" t="s">
        <v>27</v>
      </c>
      <c r="C17" s="172" t="s">
        <v>108</v>
      </c>
      <c r="D17" s="172" t="s">
        <v>740</v>
      </c>
      <c r="E17" s="170" t="s">
        <v>91</v>
      </c>
      <c r="F17" s="170" t="s">
        <v>91</v>
      </c>
      <c r="G17" s="179">
        <v>45777.0</v>
      </c>
      <c r="H17" s="180">
        <v>694.95</v>
      </c>
      <c r="I17" s="180">
        <v>0.0</v>
      </c>
    </row>
    <row r="18">
      <c r="A18" s="178">
        <v>45087.0</v>
      </c>
      <c r="B18" s="172" t="s">
        <v>27</v>
      </c>
      <c r="C18" s="172" t="s">
        <v>114</v>
      </c>
      <c r="D18" s="172" t="s">
        <v>113</v>
      </c>
      <c r="E18" s="170" t="s">
        <v>91</v>
      </c>
      <c r="F18" s="170" t="s">
        <v>91</v>
      </c>
      <c r="G18" s="179">
        <v>45930.0</v>
      </c>
      <c r="H18" s="180">
        <v>802.3</v>
      </c>
      <c r="I18" s="180">
        <v>802.3</v>
      </c>
    </row>
    <row r="19">
      <c r="A19" s="178">
        <v>45097.0</v>
      </c>
      <c r="B19" s="172" t="s">
        <v>27</v>
      </c>
      <c r="C19" s="172" t="s">
        <v>341</v>
      </c>
      <c r="D19" s="172" t="s">
        <v>340</v>
      </c>
      <c r="E19" s="170" t="s">
        <v>91</v>
      </c>
      <c r="F19" s="170" t="s">
        <v>91</v>
      </c>
      <c r="G19" s="179">
        <v>45930.0</v>
      </c>
      <c r="H19" s="180">
        <v>375.72</v>
      </c>
      <c r="I19" s="180">
        <v>375.72</v>
      </c>
    </row>
    <row r="20">
      <c r="A20" s="178">
        <v>45123.0</v>
      </c>
      <c r="B20" s="172" t="s">
        <v>27</v>
      </c>
      <c r="C20" s="172" t="s">
        <v>337</v>
      </c>
      <c r="D20" s="172" t="s">
        <v>335</v>
      </c>
      <c r="E20" s="170" t="s">
        <v>91</v>
      </c>
      <c r="F20" s="170" t="s">
        <v>91</v>
      </c>
      <c r="G20" s="179">
        <v>45898.0</v>
      </c>
      <c r="H20" s="180">
        <v>358.8</v>
      </c>
      <c r="I20" s="180">
        <v>358.8</v>
      </c>
    </row>
    <row r="21">
      <c r="A21" s="178">
        <v>45125.0</v>
      </c>
      <c r="B21" s="172" t="s">
        <v>27</v>
      </c>
      <c r="C21" s="172" t="s">
        <v>121</v>
      </c>
      <c r="D21" s="172" t="s">
        <v>120</v>
      </c>
      <c r="E21" s="170" t="s">
        <v>91</v>
      </c>
      <c r="F21" s="170" t="s">
        <v>91</v>
      </c>
      <c r="G21" s="179">
        <v>45787.0</v>
      </c>
      <c r="H21" s="180">
        <v>86.45</v>
      </c>
      <c r="I21" s="180">
        <v>0.0</v>
      </c>
    </row>
    <row r="22">
      <c r="A22" s="178">
        <v>45126.0</v>
      </c>
      <c r="B22" s="172" t="s">
        <v>27</v>
      </c>
      <c r="C22" s="172" t="s">
        <v>794</v>
      </c>
      <c r="D22" s="172" t="s">
        <v>563</v>
      </c>
      <c r="E22" s="170" t="s">
        <v>91</v>
      </c>
      <c r="F22" s="170" t="s">
        <v>91</v>
      </c>
      <c r="G22" s="179">
        <v>45126.0</v>
      </c>
      <c r="H22" s="180">
        <v>858.8</v>
      </c>
      <c r="I22" s="180">
        <v>0.0</v>
      </c>
    </row>
    <row r="23">
      <c r="A23" s="178">
        <v>45138.0</v>
      </c>
      <c r="B23" s="172" t="s">
        <v>27</v>
      </c>
      <c r="C23" s="172" t="s">
        <v>127</v>
      </c>
      <c r="D23" s="172" t="s">
        <v>126</v>
      </c>
      <c r="E23" s="170" t="s">
        <v>91</v>
      </c>
      <c r="F23" s="170" t="s">
        <v>91</v>
      </c>
      <c r="G23" s="179">
        <v>45138.0</v>
      </c>
      <c r="H23" s="180">
        <v>858.8</v>
      </c>
      <c r="I23" s="180">
        <v>0.0</v>
      </c>
    </row>
    <row r="24">
      <c r="A24" s="178">
        <v>45138.0</v>
      </c>
      <c r="B24" s="172" t="s">
        <v>27</v>
      </c>
      <c r="C24" s="172" t="s">
        <v>132</v>
      </c>
      <c r="D24" s="172" t="s">
        <v>131</v>
      </c>
      <c r="E24" s="170" t="s">
        <v>91</v>
      </c>
      <c r="F24" s="170" t="s">
        <v>91</v>
      </c>
      <c r="G24" s="179">
        <v>45168.0</v>
      </c>
      <c r="H24" s="180">
        <v>858.8</v>
      </c>
      <c r="I24" s="180">
        <v>0.0</v>
      </c>
    </row>
    <row r="25">
      <c r="A25" s="178">
        <v>45147.0</v>
      </c>
      <c r="B25" s="172" t="s">
        <v>27</v>
      </c>
      <c r="C25" s="172" t="s">
        <v>137</v>
      </c>
      <c r="D25" s="172" t="s">
        <v>136</v>
      </c>
      <c r="E25" s="170" t="s">
        <v>91</v>
      </c>
      <c r="F25" s="170" t="s">
        <v>91</v>
      </c>
      <c r="G25" s="179">
        <v>45237.0</v>
      </c>
      <c r="H25" s="180">
        <v>0.0</v>
      </c>
      <c r="I25" s="180">
        <v>0.0</v>
      </c>
    </row>
    <row r="26">
      <c r="A26" s="178">
        <v>45152.0</v>
      </c>
      <c r="B26" s="172" t="s">
        <v>27</v>
      </c>
      <c r="C26" s="172" t="s">
        <v>143</v>
      </c>
      <c r="D26" s="172" t="s">
        <v>141</v>
      </c>
      <c r="E26" s="170" t="s">
        <v>91</v>
      </c>
      <c r="F26" s="170" t="s">
        <v>91</v>
      </c>
      <c r="G26" s="179">
        <v>45182.0</v>
      </c>
      <c r="H26" s="180">
        <v>858.8</v>
      </c>
      <c r="I26" s="180">
        <v>0.0</v>
      </c>
    </row>
    <row r="27">
      <c r="A27" s="178">
        <v>45152.0</v>
      </c>
      <c r="B27" s="172" t="s">
        <v>27</v>
      </c>
      <c r="C27" s="172" t="s">
        <v>409</v>
      </c>
      <c r="D27" s="172" t="s">
        <v>408</v>
      </c>
      <c r="E27" s="170" t="s">
        <v>91</v>
      </c>
      <c r="F27" s="170" t="s">
        <v>91</v>
      </c>
      <c r="G27" s="179">
        <v>45182.0</v>
      </c>
      <c r="H27" s="180">
        <v>858.8</v>
      </c>
      <c r="I27" s="180">
        <v>858.8</v>
      </c>
    </row>
    <row r="28">
      <c r="A28" s="178">
        <v>45152.0</v>
      </c>
      <c r="B28" s="172" t="s">
        <v>27</v>
      </c>
      <c r="C28" s="172" t="s">
        <v>148</v>
      </c>
      <c r="D28" s="172" t="s">
        <v>147</v>
      </c>
      <c r="E28" s="170" t="s">
        <v>91</v>
      </c>
      <c r="F28" s="170" t="s">
        <v>91</v>
      </c>
      <c r="G28" s="179">
        <v>45182.0</v>
      </c>
      <c r="H28" s="180">
        <v>858.8</v>
      </c>
      <c r="I28" s="180">
        <v>0.0</v>
      </c>
    </row>
    <row r="29">
      <c r="A29" s="178">
        <v>45152.0</v>
      </c>
      <c r="B29" s="172" t="s">
        <v>27</v>
      </c>
      <c r="C29" s="172" t="s">
        <v>154</v>
      </c>
      <c r="D29" s="172" t="s">
        <v>153</v>
      </c>
      <c r="E29" s="170" t="s">
        <v>91</v>
      </c>
      <c r="F29" s="170" t="s">
        <v>91</v>
      </c>
      <c r="G29" s="179">
        <v>45182.0</v>
      </c>
      <c r="H29" s="180">
        <v>858.8</v>
      </c>
      <c r="I29" s="180">
        <v>0.0</v>
      </c>
    </row>
    <row r="30">
      <c r="A30" s="178">
        <v>45152.0</v>
      </c>
      <c r="B30" s="172" t="s">
        <v>27</v>
      </c>
      <c r="C30" s="172" t="s">
        <v>160</v>
      </c>
      <c r="D30" s="172" t="s">
        <v>159</v>
      </c>
      <c r="E30" s="170" t="s">
        <v>91</v>
      </c>
      <c r="F30" s="170" t="s">
        <v>91</v>
      </c>
      <c r="G30" s="179">
        <v>45182.0</v>
      </c>
      <c r="H30" s="180">
        <v>858.8</v>
      </c>
      <c r="I30" s="180">
        <v>0.0</v>
      </c>
    </row>
    <row r="31">
      <c r="A31" s="178">
        <v>45157.0</v>
      </c>
      <c r="B31" s="172" t="s">
        <v>27</v>
      </c>
      <c r="C31" s="172" t="s">
        <v>368</v>
      </c>
      <c r="D31" s="172" t="s">
        <v>367</v>
      </c>
      <c r="E31" s="170" t="s">
        <v>91</v>
      </c>
      <c r="F31" s="170" t="s">
        <v>91</v>
      </c>
      <c r="G31" s="179">
        <v>45930.0</v>
      </c>
      <c r="H31" s="180">
        <v>551.45</v>
      </c>
      <c r="I31" s="180">
        <v>551.45</v>
      </c>
    </row>
    <row r="32">
      <c r="A32" s="178">
        <v>45157.0</v>
      </c>
      <c r="B32" s="172" t="s">
        <v>27</v>
      </c>
      <c r="C32" s="172" t="s">
        <v>165</v>
      </c>
      <c r="D32" s="172" t="s">
        <v>164</v>
      </c>
      <c r="E32" s="170" t="s">
        <v>91</v>
      </c>
      <c r="F32" s="170" t="s">
        <v>91</v>
      </c>
      <c r="G32" s="179">
        <v>45777.0</v>
      </c>
      <c r="H32" s="180">
        <v>502.85</v>
      </c>
      <c r="I32" s="180">
        <v>0.0</v>
      </c>
    </row>
    <row r="33">
      <c r="A33" s="178">
        <v>45157.0</v>
      </c>
      <c r="B33" s="172" t="s">
        <v>27</v>
      </c>
      <c r="C33" s="172" t="s">
        <v>170</v>
      </c>
      <c r="D33" s="172" t="s">
        <v>169</v>
      </c>
      <c r="E33" s="170" t="s">
        <v>91</v>
      </c>
      <c r="F33" s="170" t="s">
        <v>91</v>
      </c>
      <c r="G33" s="179">
        <v>45778.0</v>
      </c>
      <c r="H33" s="180">
        <v>551.45</v>
      </c>
      <c r="I33" s="180">
        <v>0.0</v>
      </c>
    </row>
    <row r="34">
      <c r="A34" s="178">
        <v>45157.0</v>
      </c>
      <c r="B34" s="172" t="s">
        <v>27</v>
      </c>
      <c r="C34" s="172" t="s">
        <v>177</v>
      </c>
      <c r="D34" s="172" t="s">
        <v>176</v>
      </c>
      <c r="E34" s="170" t="s">
        <v>91</v>
      </c>
      <c r="F34" s="170" t="s">
        <v>91</v>
      </c>
      <c r="G34" s="179">
        <v>45789.0</v>
      </c>
      <c r="H34" s="180">
        <v>551.45</v>
      </c>
      <c r="I34" s="180">
        <v>0.0</v>
      </c>
    </row>
    <row r="35">
      <c r="A35" s="178">
        <v>45158.0</v>
      </c>
      <c r="B35" s="172" t="s">
        <v>27</v>
      </c>
      <c r="C35" s="172" t="s">
        <v>183</v>
      </c>
      <c r="D35" s="172" t="s">
        <v>182</v>
      </c>
      <c r="E35" s="170" t="s">
        <v>91</v>
      </c>
      <c r="F35" s="170" t="s">
        <v>91</v>
      </c>
      <c r="G35" s="179">
        <v>45320.0</v>
      </c>
      <c r="H35" s="180">
        <v>551.45</v>
      </c>
      <c r="I35" s="180">
        <v>0.0</v>
      </c>
    </row>
    <row r="36">
      <c r="A36" s="178">
        <v>45159.0</v>
      </c>
      <c r="B36" s="172" t="s">
        <v>27</v>
      </c>
      <c r="C36" s="172" t="s">
        <v>188</v>
      </c>
      <c r="D36" s="172" t="s">
        <v>187</v>
      </c>
      <c r="E36" s="170" t="s">
        <v>91</v>
      </c>
      <c r="F36" s="170" t="s">
        <v>91</v>
      </c>
      <c r="G36" s="179">
        <v>45789.0</v>
      </c>
      <c r="H36" s="180">
        <v>551.45</v>
      </c>
      <c r="I36" s="180">
        <v>0.0</v>
      </c>
    </row>
    <row r="37">
      <c r="A37" s="178">
        <v>45159.0</v>
      </c>
      <c r="B37" s="172" t="s">
        <v>27</v>
      </c>
      <c r="C37" s="172" t="s">
        <v>194</v>
      </c>
      <c r="D37" s="172" t="s">
        <v>193</v>
      </c>
      <c r="E37" s="170" t="s">
        <v>91</v>
      </c>
      <c r="F37" s="170" t="s">
        <v>91</v>
      </c>
      <c r="G37" s="179">
        <v>45792.0</v>
      </c>
      <c r="H37" s="180">
        <v>551.45</v>
      </c>
      <c r="I37" s="180">
        <v>0.0</v>
      </c>
    </row>
    <row r="38">
      <c r="A38" s="178">
        <v>45160.0</v>
      </c>
      <c r="B38" s="172" t="s">
        <v>27</v>
      </c>
      <c r="C38" s="172" t="s">
        <v>199</v>
      </c>
      <c r="D38" s="172" t="s">
        <v>198</v>
      </c>
      <c r="E38" s="170" t="s">
        <v>91</v>
      </c>
      <c r="F38" s="170" t="s">
        <v>91</v>
      </c>
      <c r="G38" s="179">
        <v>45792.0</v>
      </c>
      <c r="H38" s="180">
        <v>551.45</v>
      </c>
      <c r="I38" s="180">
        <v>0.0</v>
      </c>
    </row>
    <row r="39">
      <c r="A39" s="178">
        <v>45161.0</v>
      </c>
      <c r="B39" s="172" t="s">
        <v>27</v>
      </c>
      <c r="C39" s="172" t="s">
        <v>373</v>
      </c>
      <c r="D39" s="172" t="s">
        <v>372</v>
      </c>
      <c r="E39" s="170" t="s">
        <v>91</v>
      </c>
      <c r="F39" s="170" t="s">
        <v>91</v>
      </c>
      <c r="G39" s="179">
        <v>45930.0</v>
      </c>
      <c r="H39" s="180">
        <v>551.45</v>
      </c>
      <c r="I39" s="180">
        <v>551.45</v>
      </c>
    </row>
    <row r="40">
      <c r="A40" s="178">
        <v>45163.0</v>
      </c>
      <c r="B40" s="172" t="s">
        <v>27</v>
      </c>
      <c r="C40" s="172" t="s">
        <v>204</v>
      </c>
      <c r="D40" s="172" t="s">
        <v>203</v>
      </c>
      <c r="E40" s="170" t="s">
        <v>91</v>
      </c>
      <c r="F40" s="170" t="s">
        <v>91</v>
      </c>
      <c r="G40" s="179">
        <v>45786.0</v>
      </c>
      <c r="H40" s="180">
        <v>551.45</v>
      </c>
      <c r="I40" s="180">
        <v>0.0</v>
      </c>
    </row>
    <row r="41">
      <c r="A41" s="178">
        <v>45163.0</v>
      </c>
      <c r="B41" s="172" t="s">
        <v>27</v>
      </c>
      <c r="C41" s="172" t="s">
        <v>210</v>
      </c>
      <c r="D41" s="172" t="s">
        <v>209</v>
      </c>
      <c r="E41" s="170" t="s">
        <v>91</v>
      </c>
      <c r="F41" s="170" t="s">
        <v>91</v>
      </c>
      <c r="G41" s="179">
        <v>45930.0</v>
      </c>
      <c r="H41" s="180">
        <v>551.45</v>
      </c>
      <c r="I41" s="180">
        <v>551.45</v>
      </c>
    </row>
    <row r="42">
      <c r="A42" s="178">
        <v>45163.0</v>
      </c>
      <c r="B42" s="172" t="s">
        <v>27</v>
      </c>
      <c r="C42" s="172" t="s">
        <v>378</v>
      </c>
      <c r="D42" s="172" t="s">
        <v>377</v>
      </c>
      <c r="E42" s="170" t="s">
        <v>91</v>
      </c>
      <c r="F42" s="170" t="s">
        <v>91</v>
      </c>
      <c r="G42" s="179">
        <v>45930.0</v>
      </c>
      <c r="H42" s="180">
        <v>551.45</v>
      </c>
      <c r="I42" s="180">
        <v>551.45</v>
      </c>
    </row>
    <row r="43">
      <c r="A43" s="178">
        <v>45170.0</v>
      </c>
      <c r="B43" s="172" t="s">
        <v>27</v>
      </c>
      <c r="C43" s="172" t="s">
        <v>215</v>
      </c>
      <c r="D43" s="172" t="s">
        <v>214</v>
      </c>
      <c r="E43" s="170" t="s">
        <v>91</v>
      </c>
      <c r="F43" s="170" t="s">
        <v>91</v>
      </c>
      <c r="G43" s="179">
        <v>45930.0</v>
      </c>
      <c r="H43" s="180">
        <v>551.45</v>
      </c>
      <c r="I43" s="180">
        <v>551.45</v>
      </c>
    </row>
    <row r="44">
      <c r="A44" s="178">
        <v>45171.0</v>
      </c>
      <c r="B44" s="172" t="s">
        <v>27</v>
      </c>
      <c r="C44" s="172" t="s">
        <v>383</v>
      </c>
      <c r="D44" s="172" t="s">
        <v>382</v>
      </c>
      <c r="E44" s="170" t="s">
        <v>91</v>
      </c>
      <c r="F44" s="170" t="s">
        <v>91</v>
      </c>
      <c r="G44" s="179">
        <v>45930.0</v>
      </c>
      <c r="H44" s="180">
        <v>551.45</v>
      </c>
      <c r="I44" s="180">
        <v>551.45</v>
      </c>
    </row>
    <row r="45">
      <c r="A45" s="178">
        <v>45172.0</v>
      </c>
      <c r="B45" s="172" t="s">
        <v>27</v>
      </c>
      <c r="C45" s="172" t="s">
        <v>220</v>
      </c>
      <c r="D45" s="172" t="s">
        <v>219</v>
      </c>
      <c r="E45" s="170" t="s">
        <v>91</v>
      </c>
      <c r="F45" s="170" t="s">
        <v>91</v>
      </c>
      <c r="G45" s="179">
        <v>45784.0</v>
      </c>
      <c r="H45" s="180">
        <v>551.45</v>
      </c>
      <c r="I45" s="180">
        <v>0.0</v>
      </c>
    </row>
    <row r="46">
      <c r="A46" s="178">
        <v>45173.0</v>
      </c>
      <c r="B46" s="172" t="s">
        <v>27</v>
      </c>
      <c r="C46" s="172" t="s">
        <v>388</v>
      </c>
      <c r="D46" s="172" t="s">
        <v>387</v>
      </c>
      <c r="E46" s="170" t="s">
        <v>91</v>
      </c>
      <c r="F46" s="170" t="s">
        <v>91</v>
      </c>
      <c r="G46" s="179">
        <v>45657.0</v>
      </c>
      <c r="H46" s="180">
        <v>551.45</v>
      </c>
      <c r="I46" s="180">
        <v>0.0</v>
      </c>
    </row>
    <row r="47">
      <c r="A47" s="178">
        <v>45175.0</v>
      </c>
      <c r="B47" s="172" t="s">
        <v>27</v>
      </c>
      <c r="C47" s="172" t="s">
        <v>225</v>
      </c>
      <c r="D47" s="172" t="s">
        <v>762</v>
      </c>
      <c r="E47" s="170" t="s">
        <v>91</v>
      </c>
      <c r="F47" s="170" t="s">
        <v>91</v>
      </c>
      <c r="G47" s="179">
        <v>45190.0</v>
      </c>
      <c r="H47" s="180">
        <v>644.1</v>
      </c>
      <c r="I47" s="180">
        <v>0.0</v>
      </c>
    </row>
    <row r="48">
      <c r="A48" s="178">
        <v>45176.0</v>
      </c>
      <c r="B48" s="172" t="s">
        <v>27</v>
      </c>
      <c r="C48" s="172" t="s">
        <v>400</v>
      </c>
      <c r="D48" s="172" t="s">
        <v>399</v>
      </c>
      <c r="E48" s="170" t="s">
        <v>91</v>
      </c>
      <c r="F48" s="170" t="s">
        <v>91</v>
      </c>
      <c r="G48" s="179">
        <v>45945.0</v>
      </c>
      <c r="H48" s="180">
        <v>658.8</v>
      </c>
      <c r="I48" s="180">
        <v>658.8</v>
      </c>
    </row>
    <row r="49">
      <c r="A49" s="178">
        <v>45196.0</v>
      </c>
      <c r="B49" s="172" t="s">
        <v>27</v>
      </c>
      <c r="C49" s="172" t="s">
        <v>231</v>
      </c>
      <c r="D49" s="172" t="s">
        <v>230</v>
      </c>
      <c r="E49" s="170" t="s">
        <v>91</v>
      </c>
      <c r="F49" s="170" t="s">
        <v>91</v>
      </c>
      <c r="G49" s="179">
        <v>45784.0</v>
      </c>
      <c r="H49" s="180">
        <v>258.8</v>
      </c>
      <c r="I49" s="180">
        <v>0.0</v>
      </c>
    </row>
    <row r="50">
      <c r="A50" s="178">
        <v>45198.0</v>
      </c>
      <c r="B50" s="172" t="s">
        <v>27</v>
      </c>
      <c r="C50" s="172" t="s">
        <v>236</v>
      </c>
      <c r="D50" s="172" t="s">
        <v>235</v>
      </c>
      <c r="E50" s="170" t="s">
        <v>91</v>
      </c>
      <c r="F50" s="170" t="s">
        <v>91</v>
      </c>
      <c r="G50" s="179">
        <v>45789.0</v>
      </c>
      <c r="H50" s="180">
        <v>444.1</v>
      </c>
      <c r="I50" s="180">
        <v>0.0</v>
      </c>
    </row>
    <row r="51">
      <c r="A51" s="178">
        <v>45199.0</v>
      </c>
      <c r="B51" s="172" t="s">
        <v>27</v>
      </c>
      <c r="C51" s="172" t="s">
        <v>332</v>
      </c>
      <c r="D51" s="172" t="s">
        <v>330</v>
      </c>
      <c r="E51" s="170" t="s">
        <v>91</v>
      </c>
      <c r="F51" s="170" t="s">
        <v>91</v>
      </c>
      <c r="G51" s="179">
        <v>45945.0</v>
      </c>
      <c r="H51" s="180">
        <v>86.45</v>
      </c>
      <c r="I51" s="180">
        <v>86.45</v>
      </c>
    </row>
    <row r="52">
      <c r="A52" s="178">
        <v>45200.0</v>
      </c>
      <c r="B52" s="172" t="s">
        <v>27</v>
      </c>
      <c r="C52" s="172" t="s">
        <v>241</v>
      </c>
      <c r="D52" s="172" t="s">
        <v>240</v>
      </c>
      <c r="E52" s="170" t="s">
        <v>91</v>
      </c>
      <c r="F52" s="170" t="s">
        <v>91</v>
      </c>
      <c r="G52" s="179">
        <v>45787.0</v>
      </c>
      <c r="H52" s="180">
        <v>336.75</v>
      </c>
      <c r="I52" s="180">
        <v>0.0</v>
      </c>
    </row>
    <row r="53">
      <c r="A53" s="178">
        <v>45200.0</v>
      </c>
      <c r="B53" s="172" t="s">
        <v>27</v>
      </c>
      <c r="C53" s="172" t="s">
        <v>247</v>
      </c>
      <c r="D53" s="172" t="s">
        <v>246</v>
      </c>
      <c r="E53" s="170" t="s">
        <v>91</v>
      </c>
      <c r="F53" s="170" t="s">
        <v>91</v>
      </c>
      <c r="G53" s="179">
        <v>45200.0</v>
      </c>
      <c r="H53" s="180">
        <v>0.0</v>
      </c>
      <c r="I53" s="180">
        <v>0.0</v>
      </c>
    </row>
    <row r="54">
      <c r="A54" s="178">
        <v>45201.0</v>
      </c>
      <c r="B54" s="172" t="s">
        <v>27</v>
      </c>
      <c r="C54" s="172" t="s">
        <v>252</v>
      </c>
      <c r="D54" s="172" t="s">
        <v>251</v>
      </c>
      <c r="E54" s="170" t="s">
        <v>91</v>
      </c>
      <c r="F54" s="170" t="s">
        <v>91</v>
      </c>
      <c r="G54" s="179">
        <v>45291.0</v>
      </c>
      <c r="H54" s="180">
        <v>0.0</v>
      </c>
      <c r="I54" s="180">
        <v>0.0</v>
      </c>
    </row>
    <row r="55">
      <c r="A55" s="178">
        <v>45202.0</v>
      </c>
      <c r="B55" s="172" t="s">
        <v>27</v>
      </c>
      <c r="C55" s="172" t="s">
        <v>256</v>
      </c>
      <c r="D55" s="172" t="s">
        <v>255</v>
      </c>
      <c r="E55" s="170" t="s">
        <v>91</v>
      </c>
      <c r="F55" s="170" t="s">
        <v>91</v>
      </c>
      <c r="G55" s="179">
        <v>45930.0</v>
      </c>
      <c r="H55" s="180">
        <v>0.0</v>
      </c>
      <c r="I55" s="180">
        <v>0.0</v>
      </c>
    </row>
    <row r="56">
      <c r="A56" s="178">
        <v>45209.0</v>
      </c>
      <c r="B56" s="172" t="s">
        <v>27</v>
      </c>
      <c r="C56" s="172" t="s">
        <v>395</v>
      </c>
      <c r="D56" s="172" t="s">
        <v>394</v>
      </c>
      <c r="E56" s="170" t="s">
        <v>91</v>
      </c>
      <c r="F56" s="170" t="s">
        <v>91</v>
      </c>
      <c r="G56" s="179">
        <v>45930.0</v>
      </c>
      <c r="H56" s="180">
        <v>551.45</v>
      </c>
      <c r="I56" s="180">
        <v>551.45</v>
      </c>
    </row>
    <row r="57">
      <c r="A57" s="178">
        <v>45261.0</v>
      </c>
      <c r="B57" s="172" t="s">
        <v>27</v>
      </c>
      <c r="C57" s="172" t="s">
        <v>261</v>
      </c>
      <c r="D57" s="172" t="s">
        <v>260</v>
      </c>
      <c r="E57" s="170" t="s">
        <v>91</v>
      </c>
      <c r="F57" s="170" t="s">
        <v>91</v>
      </c>
      <c r="G57" s="179">
        <v>45786.0</v>
      </c>
      <c r="H57" s="180">
        <v>552.45</v>
      </c>
      <c r="I57" s="180">
        <v>0.0</v>
      </c>
    </row>
    <row r="58">
      <c r="A58" s="178">
        <v>45299.0</v>
      </c>
      <c r="B58" s="172" t="s">
        <v>27</v>
      </c>
      <c r="C58" s="172" t="s">
        <v>268</v>
      </c>
      <c r="D58" s="172" t="s">
        <v>267</v>
      </c>
      <c r="E58" s="170" t="s">
        <v>91</v>
      </c>
      <c r="F58" s="170" t="s">
        <v>91</v>
      </c>
      <c r="G58" s="179">
        <v>45784.0</v>
      </c>
      <c r="H58" s="180">
        <v>526.58</v>
      </c>
      <c r="I58" s="180">
        <v>0.0</v>
      </c>
    </row>
    <row r="59">
      <c r="A59" s="178">
        <v>45299.0</v>
      </c>
      <c r="B59" s="172" t="s">
        <v>27</v>
      </c>
      <c r="C59" s="172" t="s">
        <v>273</v>
      </c>
      <c r="D59" s="172" t="s">
        <v>272</v>
      </c>
      <c r="E59" s="170" t="s">
        <v>91</v>
      </c>
      <c r="F59" s="170" t="s">
        <v>91</v>
      </c>
      <c r="G59" s="179">
        <v>45930.0</v>
      </c>
      <c r="H59" s="180">
        <v>0.0</v>
      </c>
      <c r="I59" s="180">
        <v>0.0</v>
      </c>
    </row>
    <row r="60">
      <c r="A60" s="178">
        <v>45360.0</v>
      </c>
      <c r="B60" s="172" t="s">
        <v>27</v>
      </c>
      <c r="C60" s="172" t="s">
        <v>276</v>
      </c>
      <c r="D60" s="172" t="s">
        <v>275</v>
      </c>
      <c r="E60" s="170" t="s">
        <v>91</v>
      </c>
      <c r="F60" s="170" t="s">
        <v>91</v>
      </c>
      <c r="G60" s="179">
        <v>45930.0</v>
      </c>
      <c r="H60" s="180">
        <v>867.85</v>
      </c>
      <c r="I60" s="180">
        <v>867.85</v>
      </c>
    </row>
    <row r="61">
      <c r="A61" s="178">
        <v>45361.0</v>
      </c>
      <c r="B61" s="172" t="s">
        <v>27</v>
      </c>
      <c r="C61" s="172" t="s">
        <v>413</v>
      </c>
      <c r="D61" s="172" t="s">
        <v>412</v>
      </c>
      <c r="E61" s="170" t="s">
        <v>91</v>
      </c>
      <c r="F61" s="170" t="s">
        <v>91</v>
      </c>
      <c r="G61" s="179">
        <v>45930.0</v>
      </c>
      <c r="H61" s="180">
        <v>867.85</v>
      </c>
      <c r="I61" s="180">
        <v>867.85</v>
      </c>
    </row>
    <row r="62">
      <c r="A62" s="178">
        <v>45361.0</v>
      </c>
      <c r="B62" s="172" t="s">
        <v>27</v>
      </c>
      <c r="C62" s="172" t="s">
        <v>404</v>
      </c>
      <c r="D62" s="172" t="s">
        <v>403</v>
      </c>
      <c r="E62" s="170" t="s">
        <v>91</v>
      </c>
      <c r="F62" s="170" t="s">
        <v>91</v>
      </c>
      <c r="G62" s="179">
        <v>45930.0</v>
      </c>
      <c r="H62" s="180">
        <v>715.3</v>
      </c>
      <c r="I62" s="180">
        <v>715.3</v>
      </c>
    </row>
    <row r="63">
      <c r="A63" s="178">
        <v>45361.0</v>
      </c>
      <c r="B63" s="172" t="s">
        <v>27</v>
      </c>
      <c r="C63" s="172" t="s">
        <v>281</v>
      </c>
      <c r="D63" s="172" t="s">
        <v>280</v>
      </c>
      <c r="E63" s="170" t="s">
        <v>91</v>
      </c>
      <c r="F63" s="170" t="s">
        <v>91</v>
      </c>
      <c r="G63" s="179">
        <v>45779.0</v>
      </c>
      <c r="H63" s="180">
        <v>867.85</v>
      </c>
      <c r="I63" s="180">
        <v>0.0</v>
      </c>
    </row>
    <row r="64">
      <c r="A64" s="178">
        <v>45362.0</v>
      </c>
      <c r="B64" s="172" t="s">
        <v>27</v>
      </c>
      <c r="C64" s="172" t="s">
        <v>419</v>
      </c>
      <c r="D64" s="172" t="s">
        <v>417</v>
      </c>
      <c r="E64" s="170" t="s">
        <v>91</v>
      </c>
      <c r="F64" s="170" t="s">
        <v>91</v>
      </c>
      <c r="G64" s="179">
        <v>45930.0</v>
      </c>
      <c r="H64" s="180">
        <v>867.85</v>
      </c>
      <c r="I64" s="180">
        <v>867.85</v>
      </c>
    </row>
    <row r="65">
      <c r="A65" s="178">
        <v>45365.0</v>
      </c>
      <c r="B65" s="172" t="s">
        <v>27</v>
      </c>
      <c r="C65" s="172" t="s">
        <v>424</v>
      </c>
      <c r="D65" s="172" t="s">
        <v>423</v>
      </c>
      <c r="E65" s="170" t="s">
        <v>91</v>
      </c>
      <c r="F65" s="170" t="s">
        <v>91</v>
      </c>
      <c r="G65" s="179">
        <v>45930.0</v>
      </c>
      <c r="H65" s="180">
        <v>867.85</v>
      </c>
      <c r="I65" s="180">
        <v>867.85</v>
      </c>
    </row>
    <row r="66">
      <c r="A66" s="178">
        <v>45366.0</v>
      </c>
      <c r="B66" s="172" t="s">
        <v>27</v>
      </c>
      <c r="C66" s="172" t="s">
        <v>429</v>
      </c>
      <c r="D66" s="172" t="s">
        <v>428</v>
      </c>
      <c r="E66" s="170" t="s">
        <v>91</v>
      </c>
      <c r="F66" s="170" t="s">
        <v>91</v>
      </c>
      <c r="G66" s="179">
        <v>45930.0</v>
      </c>
      <c r="H66" s="180">
        <v>867.85</v>
      </c>
      <c r="I66" s="180">
        <v>867.85</v>
      </c>
    </row>
    <row r="67">
      <c r="A67" s="178">
        <v>45366.0</v>
      </c>
      <c r="B67" s="172" t="s">
        <v>27</v>
      </c>
      <c r="C67" s="172" t="s">
        <v>435</v>
      </c>
      <c r="D67" s="172" t="s">
        <v>591</v>
      </c>
      <c r="E67" s="170" t="s">
        <v>91</v>
      </c>
      <c r="F67" s="170" t="s">
        <v>91</v>
      </c>
      <c r="G67" s="179">
        <v>45930.0</v>
      </c>
      <c r="H67" s="180">
        <v>867.85</v>
      </c>
      <c r="I67" s="180">
        <v>867.85</v>
      </c>
    </row>
    <row r="68">
      <c r="A68" s="178">
        <v>45367.0</v>
      </c>
      <c r="B68" s="172" t="s">
        <v>27</v>
      </c>
      <c r="C68" s="172" t="s">
        <v>439</v>
      </c>
      <c r="D68" s="172" t="s">
        <v>438</v>
      </c>
      <c r="E68" s="170" t="s">
        <v>91</v>
      </c>
      <c r="F68" s="170" t="s">
        <v>91</v>
      </c>
      <c r="G68" s="179">
        <v>45930.0</v>
      </c>
      <c r="H68" s="180">
        <v>867.85</v>
      </c>
      <c r="I68" s="180">
        <v>867.85</v>
      </c>
    </row>
    <row r="69">
      <c r="A69" s="178">
        <v>45367.0</v>
      </c>
      <c r="B69" s="172" t="s">
        <v>27</v>
      </c>
      <c r="C69" s="172" t="s">
        <v>444</v>
      </c>
      <c r="D69" s="172" t="s">
        <v>672</v>
      </c>
      <c r="E69" s="170" t="s">
        <v>91</v>
      </c>
      <c r="F69" s="170" t="s">
        <v>91</v>
      </c>
      <c r="G69" s="179">
        <v>45930.0</v>
      </c>
      <c r="H69" s="180">
        <v>867.85</v>
      </c>
      <c r="I69" s="180">
        <v>867.85</v>
      </c>
    </row>
    <row r="70">
      <c r="A70" s="178">
        <v>45367.0</v>
      </c>
      <c r="B70" s="172" t="s">
        <v>27</v>
      </c>
      <c r="C70" s="172" t="s">
        <v>449</v>
      </c>
      <c r="D70" s="172" t="s">
        <v>448</v>
      </c>
      <c r="E70" s="170" t="s">
        <v>91</v>
      </c>
      <c r="F70" s="170" t="s">
        <v>91</v>
      </c>
      <c r="G70" s="179">
        <v>45930.0</v>
      </c>
      <c r="H70" s="180">
        <v>867.85</v>
      </c>
      <c r="I70" s="180">
        <v>867.85</v>
      </c>
    </row>
    <row r="71">
      <c r="A71" s="178">
        <v>45367.0</v>
      </c>
      <c r="B71" s="172" t="s">
        <v>27</v>
      </c>
      <c r="C71" s="172" t="s">
        <v>286</v>
      </c>
      <c r="D71" s="172" t="s">
        <v>285</v>
      </c>
      <c r="E71" s="170" t="s">
        <v>91</v>
      </c>
      <c r="F71" s="170" t="s">
        <v>91</v>
      </c>
      <c r="G71" s="179">
        <v>45779.0</v>
      </c>
      <c r="H71" s="180">
        <v>867.85</v>
      </c>
      <c r="I71" s="180">
        <v>0.0</v>
      </c>
    </row>
    <row r="72">
      <c r="A72" s="178">
        <v>45368.0</v>
      </c>
      <c r="B72" s="172" t="s">
        <v>27</v>
      </c>
      <c r="C72" s="172" t="s">
        <v>292</v>
      </c>
      <c r="D72" s="172" t="s">
        <v>291</v>
      </c>
      <c r="E72" s="170" t="s">
        <v>91</v>
      </c>
      <c r="F72" s="170" t="s">
        <v>91</v>
      </c>
      <c r="G72" s="179">
        <v>45657.0</v>
      </c>
      <c r="H72" s="180">
        <v>0.0</v>
      </c>
      <c r="I72" s="180">
        <v>0.0</v>
      </c>
    </row>
    <row r="73">
      <c r="A73" s="178">
        <v>45374.0</v>
      </c>
      <c r="B73" s="172" t="s">
        <v>27</v>
      </c>
      <c r="C73" s="172" t="s">
        <v>454</v>
      </c>
      <c r="D73" s="172" t="s">
        <v>453</v>
      </c>
      <c r="E73" s="170" t="s">
        <v>91</v>
      </c>
      <c r="F73" s="170" t="s">
        <v>91</v>
      </c>
      <c r="G73" s="179">
        <v>45930.0</v>
      </c>
      <c r="H73" s="180">
        <v>867.85</v>
      </c>
      <c r="I73" s="180">
        <v>867.85</v>
      </c>
    </row>
    <row r="74">
      <c r="A74" s="178">
        <v>45374.0</v>
      </c>
      <c r="B74" s="172" t="s">
        <v>27</v>
      </c>
      <c r="C74" s="172" t="s">
        <v>297</v>
      </c>
      <c r="D74" s="172" t="s">
        <v>296</v>
      </c>
      <c r="E74" s="170" t="s">
        <v>91</v>
      </c>
      <c r="F74" s="170" t="s">
        <v>91</v>
      </c>
      <c r="G74" s="179">
        <v>45930.0</v>
      </c>
      <c r="H74" s="180">
        <v>867.85</v>
      </c>
      <c r="I74" s="180">
        <v>867.85</v>
      </c>
    </row>
    <row r="75">
      <c r="A75" s="178">
        <v>45445.0</v>
      </c>
      <c r="B75" s="172" t="s">
        <v>27</v>
      </c>
      <c r="C75" s="172" t="s">
        <v>469</v>
      </c>
      <c r="D75" s="172" t="s">
        <v>467</v>
      </c>
      <c r="E75" s="170" t="s">
        <v>91</v>
      </c>
      <c r="F75" s="170" t="s">
        <v>91</v>
      </c>
      <c r="G75" s="179">
        <v>45930.0</v>
      </c>
      <c r="H75" s="180">
        <v>1020.4</v>
      </c>
      <c r="I75" s="180">
        <v>1020.4</v>
      </c>
    </row>
    <row r="76">
      <c r="A76" s="178">
        <v>45461.0</v>
      </c>
      <c r="B76" s="172" t="s">
        <v>27</v>
      </c>
      <c r="C76" s="172" t="s">
        <v>474</v>
      </c>
      <c r="D76" s="172" t="s">
        <v>473</v>
      </c>
      <c r="E76" s="170" t="s">
        <v>91</v>
      </c>
      <c r="F76" s="170" t="s">
        <v>91</v>
      </c>
      <c r="G76" s="179">
        <v>45900.0</v>
      </c>
      <c r="H76" s="180">
        <v>1220.4</v>
      </c>
      <c r="I76" s="180">
        <v>1020.4</v>
      </c>
    </row>
    <row r="77">
      <c r="A77" s="178">
        <v>45496.0</v>
      </c>
      <c r="B77" s="172" t="s">
        <v>27</v>
      </c>
      <c r="C77" s="172" t="s">
        <v>302</v>
      </c>
      <c r="D77" s="172" t="s">
        <v>301</v>
      </c>
      <c r="E77" s="170" t="s">
        <v>91</v>
      </c>
      <c r="F77" s="170" t="s">
        <v>91</v>
      </c>
      <c r="G77" s="179">
        <v>45496.0</v>
      </c>
      <c r="H77" s="180">
        <v>1467.87</v>
      </c>
      <c r="I77" s="180">
        <v>0.0</v>
      </c>
      <c r="K77" s="83" t="s">
        <v>303</v>
      </c>
    </row>
    <row r="78">
      <c r="A78" s="178">
        <v>45502.0</v>
      </c>
      <c r="B78" s="172" t="s">
        <v>27</v>
      </c>
      <c r="C78" s="172" t="s">
        <v>307</v>
      </c>
      <c r="D78" s="172" t="s">
        <v>301</v>
      </c>
      <c r="E78" s="170" t="s">
        <v>91</v>
      </c>
      <c r="F78" s="170" t="s">
        <v>91</v>
      </c>
      <c r="G78" s="179">
        <v>45502.0</v>
      </c>
      <c r="H78" s="180">
        <v>1467.87</v>
      </c>
      <c r="I78" s="180">
        <v>0.0</v>
      </c>
      <c r="K78" s="83" t="s">
        <v>303</v>
      </c>
    </row>
    <row r="79">
      <c r="A79" s="178">
        <v>45518.0</v>
      </c>
      <c r="B79" s="172" t="s">
        <v>27</v>
      </c>
      <c r="C79" s="172" t="s">
        <v>465</v>
      </c>
      <c r="D79" s="172" t="s">
        <v>464</v>
      </c>
      <c r="E79" s="170" t="s">
        <v>91</v>
      </c>
      <c r="F79" s="170" t="s">
        <v>91</v>
      </c>
      <c r="G79" s="179">
        <v>45930.0</v>
      </c>
      <c r="H79" s="180">
        <v>967.87</v>
      </c>
      <c r="I79" s="180">
        <v>967.87</v>
      </c>
    </row>
    <row r="80">
      <c r="A80" s="178">
        <v>45530.0</v>
      </c>
      <c r="B80" s="172" t="s">
        <v>27</v>
      </c>
      <c r="C80" s="172" t="s">
        <v>361</v>
      </c>
      <c r="D80" s="172" t="s">
        <v>360</v>
      </c>
      <c r="E80" s="170" t="s">
        <v>91</v>
      </c>
      <c r="F80" s="170" t="s">
        <v>91</v>
      </c>
      <c r="G80" s="179">
        <v>45930.0</v>
      </c>
      <c r="H80" s="180">
        <v>517.0</v>
      </c>
      <c r="I80" s="180">
        <v>517.0</v>
      </c>
    </row>
    <row r="81">
      <c r="A81" s="178">
        <v>45535.0</v>
      </c>
      <c r="B81" s="172" t="s">
        <v>27</v>
      </c>
      <c r="C81" s="172" t="s">
        <v>795</v>
      </c>
      <c r="D81" s="172" t="s">
        <v>508</v>
      </c>
      <c r="E81" s="170" t="s">
        <v>91</v>
      </c>
      <c r="F81" s="170" t="s">
        <v>91</v>
      </c>
      <c r="G81" s="179">
        <v>46022.0</v>
      </c>
      <c r="H81" s="180">
        <v>594.95</v>
      </c>
      <c r="I81" s="180">
        <v>594.95</v>
      </c>
    </row>
    <row r="82">
      <c r="A82" s="178">
        <v>45539.0</v>
      </c>
      <c r="B82" s="172" t="s">
        <v>27</v>
      </c>
      <c r="C82" s="172" t="s">
        <v>796</v>
      </c>
      <c r="D82" s="172" t="s">
        <v>535</v>
      </c>
      <c r="E82" s="170" t="s">
        <v>91</v>
      </c>
      <c r="F82" s="170" t="s">
        <v>91</v>
      </c>
      <c r="G82" s="179">
        <v>45991.0</v>
      </c>
      <c r="H82" s="180">
        <v>689.87</v>
      </c>
      <c r="I82" s="180">
        <v>689.87</v>
      </c>
    </row>
    <row r="83">
      <c r="A83" s="178">
        <v>45539.0</v>
      </c>
      <c r="B83" s="172" t="s">
        <v>27</v>
      </c>
      <c r="C83" s="172" t="s">
        <v>797</v>
      </c>
      <c r="D83" s="172" t="s">
        <v>723</v>
      </c>
      <c r="E83" s="170" t="s">
        <v>91</v>
      </c>
      <c r="F83" s="170" t="s">
        <v>91</v>
      </c>
      <c r="G83" s="179">
        <v>45991.0</v>
      </c>
      <c r="H83" s="180">
        <v>689.87</v>
      </c>
      <c r="I83" s="180">
        <v>689.87</v>
      </c>
    </row>
    <row r="84">
      <c r="A84" s="178">
        <v>45539.0</v>
      </c>
      <c r="B84" s="172" t="s">
        <v>27</v>
      </c>
      <c r="C84" s="172" t="s">
        <v>489</v>
      </c>
      <c r="D84" s="172" t="s">
        <v>488</v>
      </c>
      <c r="E84" s="170" t="s">
        <v>91</v>
      </c>
      <c r="F84" s="170" t="s">
        <v>91</v>
      </c>
      <c r="G84" s="179">
        <v>45540.0</v>
      </c>
      <c r="H84" s="180">
        <v>1354.87</v>
      </c>
      <c r="I84" s="180">
        <v>1354.87</v>
      </c>
    </row>
    <row r="85">
      <c r="A85" s="178">
        <v>45539.0</v>
      </c>
      <c r="B85" s="172" t="s">
        <v>27</v>
      </c>
      <c r="C85" s="172" t="s">
        <v>460</v>
      </c>
      <c r="D85" s="172" t="s">
        <v>458</v>
      </c>
      <c r="E85" s="170" t="s">
        <v>91</v>
      </c>
      <c r="F85" s="170" t="s">
        <v>91</v>
      </c>
      <c r="G85" s="179">
        <v>45540.0</v>
      </c>
      <c r="H85" s="180">
        <v>962.39</v>
      </c>
      <c r="I85" s="180">
        <v>962.39</v>
      </c>
    </row>
    <row r="86">
      <c r="A86" s="178">
        <v>45543.0</v>
      </c>
      <c r="B86" s="172" t="s">
        <v>27</v>
      </c>
      <c r="C86" s="172" t="s">
        <v>479</v>
      </c>
      <c r="D86" s="172" t="s">
        <v>478</v>
      </c>
      <c r="E86" s="170" t="s">
        <v>91</v>
      </c>
      <c r="F86" s="170" t="s">
        <v>91</v>
      </c>
      <c r="G86" s="179">
        <v>45930.0</v>
      </c>
      <c r="H86" s="180">
        <v>1154.87</v>
      </c>
      <c r="I86" s="180">
        <v>1154.87</v>
      </c>
    </row>
    <row r="87">
      <c r="A87" s="178">
        <v>45594.0</v>
      </c>
      <c r="B87" s="172" t="s">
        <v>27</v>
      </c>
      <c r="C87" s="172" t="s">
        <v>499</v>
      </c>
      <c r="D87" s="172" t="s">
        <v>493</v>
      </c>
      <c r="E87" s="172" t="s">
        <v>798</v>
      </c>
      <c r="F87" s="172" t="s">
        <v>799</v>
      </c>
      <c r="G87" s="179">
        <v>45961.0</v>
      </c>
      <c r="H87" s="180">
        <v>30900.0</v>
      </c>
      <c r="I87" s="180">
        <v>30900.0</v>
      </c>
    </row>
    <row r="88">
      <c r="A88" s="178">
        <v>45618.0</v>
      </c>
      <c r="B88" s="172" t="s">
        <v>27</v>
      </c>
      <c r="C88" s="172" t="s">
        <v>494</v>
      </c>
      <c r="D88" s="172" t="s">
        <v>493</v>
      </c>
      <c r="E88" s="170" t="s">
        <v>91</v>
      </c>
      <c r="F88" s="172" t="s">
        <v>498</v>
      </c>
      <c r="G88" s="179">
        <v>45930.0</v>
      </c>
      <c r="H88" s="180">
        <v>29205.0</v>
      </c>
      <c r="I88" s="180">
        <v>29205.0</v>
      </c>
    </row>
    <row r="89">
      <c r="A89" s="178">
        <v>45649.0</v>
      </c>
      <c r="B89" s="172" t="s">
        <v>27</v>
      </c>
      <c r="C89" s="172" t="s">
        <v>309</v>
      </c>
      <c r="D89" s="172" t="s">
        <v>308</v>
      </c>
      <c r="E89" s="170" t="s">
        <v>91</v>
      </c>
      <c r="F89" s="172" t="s">
        <v>313</v>
      </c>
      <c r="G89" s="179">
        <v>45653.0</v>
      </c>
      <c r="H89" s="180">
        <v>1128.87</v>
      </c>
      <c r="I89" s="180">
        <v>0.0</v>
      </c>
    </row>
    <row r="90">
      <c r="A90" s="178">
        <v>45659.0</v>
      </c>
      <c r="B90" s="172" t="s">
        <v>27</v>
      </c>
      <c r="C90" s="172" t="s">
        <v>315</v>
      </c>
      <c r="D90" s="172" t="s">
        <v>314</v>
      </c>
      <c r="E90" s="170" t="s">
        <v>91</v>
      </c>
      <c r="F90" s="170" t="s">
        <v>91</v>
      </c>
      <c r="G90" s="179">
        <v>45961.0</v>
      </c>
      <c r="H90" s="180">
        <v>1354.87</v>
      </c>
      <c r="I90" s="180">
        <v>0.0</v>
      </c>
    </row>
    <row r="91">
      <c r="A91" s="178">
        <v>45686.0</v>
      </c>
      <c r="B91" s="172" t="s">
        <v>27</v>
      </c>
      <c r="C91" s="172" t="s">
        <v>320</v>
      </c>
      <c r="D91" s="172" t="s">
        <v>319</v>
      </c>
      <c r="E91" s="170" t="s">
        <v>91</v>
      </c>
      <c r="F91" s="170" t="s">
        <v>91</v>
      </c>
      <c r="G91" s="179">
        <v>45686.0</v>
      </c>
      <c r="H91" s="180">
        <v>1219.27</v>
      </c>
      <c r="I91" s="180">
        <v>0.0</v>
      </c>
    </row>
    <row r="92">
      <c r="A92" s="178">
        <v>45733.0</v>
      </c>
      <c r="B92" s="172" t="s">
        <v>27</v>
      </c>
      <c r="C92" s="172" t="s">
        <v>484</v>
      </c>
      <c r="D92" s="172" t="s">
        <v>483</v>
      </c>
      <c r="E92" s="170" t="s">
        <v>91</v>
      </c>
      <c r="F92" s="170" t="s">
        <v>91</v>
      </c>
      <c r="G92" s="179">
        <v>45930.0</v>
      </c>
      <c r="H92" s="180">
        <v>1267.87</v>
      </c>
      <c r="I92" s="180">
        <v>1267.87</v>
      </c>
    </row>
    <row r="93">
      <c r="A93" s="181" t="s">
        <v>513</v>
      </c>
      <c r="B93" s="170"/>
      <c r="C93" s="170"/>
      <c r="D93" s="170"/>
      <c r="E93" s="170"/>
      <c r="F93" s="170"/>
      <c r="G93" s="170"/>
      <c r="H93" s="182">
        <v>128979.68</v>
      </c>
      <c r="I93" s="182">
        <v>94640.56999999999</v>
      </c>
    </row>
    <row r="94">
      <c r="A94" s="170"/>
      <c r="B94" s="170"/>
      <c r="C94" s="170"/>
      <c r="D94" s="170"/>
      <c r="E94" s="170"/>
      <c r="F94" s="170"/>
      <c r="G94" s="170"/>
      <c r="H94" s="170"/>
      <c r="I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</row>
    <row r="97">
      <c r="A97" s="176" t="s">
        <v>800</v>
      </c>
    </row>
  </sheetData>
  <mergeCells count="4">
    <mergeCell ref="A1:I1"/>
    <mergeCell ref="A2:I2"/>
    <mergeCell ref="A3:I3"/>
    <mergeCell ref="A97:I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75"/>
    <col customWidth="1" min="3" max="3" width="14.13"/>
    <col customWidth="1" min="4" max="4" width="20.75"/>
    <col customWidth="1" min="5" max="5" width="25.5"/>
    <col customWidth="1" min="7" max="7" width="11.75"/>
  </cols>
  <sheetData>
    <row r="5">
      <c r="A5" s="183" t="s">
        <v>801</v>
      </c>
      <c r="B5" s="184"/>
      <c r="C5" s="185"/>
      <c r="D5" s="186"/>
      <c r="E5" s="187"/>
      <c r="F5" s="188"/>
      <c r="G5" s="188"/>
      <c r="H5" s="188"/>
    </row>
    <row r="6">
      <c r="A6" s="189" t="s">
        <v>802</v>
      </c>
      <c r="B6" s="189" t="s">
        <v>803</v>
      </c>
      <c r="C6" s="189" t="s">
        <v>804</v>
      </c>
      <c r="D6" s="189" t="s">
        <v>19</v>
      </c>
      <c r="E6" s="189" t="s">
        <v>805</v>
      </c>
      <c r="F6" s="188"/>
      <c r="G6" s="190" t="s">
        <v>75</v>
      </c>
      <c r="H6" s="191">
        <v>11.0</v>
      </c>
    </row>
    <row r="7">
      <c r="A7" s="192" t="s">
        <v>806</v>
      </c>
      <c r="B7" s="193" t="s">
        <v>807</v>
      </c>
      <c r="C7" s="193" t="s">
        <v>808</v>
      </c>
      <c r="D7" s="194" t="s">
        <v>75</v>
      </c>
      <c r="E7" s="193" t="s">
        <v>146</v>
      </c>
      <c r="F7" s="188"/>
      <c r="G7" s="195" t="s">
        <v>37</v>
      </c>
      <c r="H7" s="191">
        <v>5.0</v>
      </c>
    </row>
    <row r="8">
      <c r="A8" s="196" t="s">
        <v>809</v>
      </c>
      <c r="B8" s="197" t="s">
        <v>810</v>
      </c>
      <c r="C8" s="193" t="s">
        <v>33</v>
      </c>
      <c r="D8" s="198" t="s">
        <v>811</v>
      </c>
      <c r="E8" s="193" t="s">
        <v>809</v>
      </c>
      <c r="F8" s="188"/>
      <c r="G8" s="199" t="s">
        <v>811</v>
      </c>
      <c r="H8" s="191">
        <v>15.0</v>
      </c>
    </row>
    <row r="9">
      <c r="A9" s="192" t="s">
        <v>812</v>
      </c>
      <c r="B9" s="193" t="s">
        <v>807</v>
      </c>
      <c r="C9" s="193" t="s">
        <v>808</v>
      </c>
      <c r="D9" s="194" t="s">
        <v>75</v>
      </c>
      <c r="E9" s="193" t="s">
        <v>158</v>
      </c>
      <c r="F9" s="188"/>
      <c r="G9" s="200" t="s">
        <v>813</v>
      </c>
      <c r="H9" s="191">
        <v>3.0</v>
      </c>
    </row>
    <row r="10">
      <c r="A10" s="196" t="s">
        <v>159</v>
      </c>
      <c r="B10" s="197" t="s">
        <v>810</v>
      </c>
      <c r="C10" s="193"/>
      <c r="D10" s="201" t="s">
        <v>814</v>
      </c>
      <c r="E10" s="193" t="s">
        <v>159</v>
      </c>
      <c r="F10" s="188"/>
      <c r="G10" s="188"/>
      <c r="H10" s="188"/>
    </row>
    <row r="11">
      <c r="A11" s="196" t="s">
        <v>815</v>
      </c>
      <c r="B11" s="197" t="s">
        <v>810</v>
      </c>
      <c r="C11" s="202" t="s">
        <v>52</v>
      </c>
      <c r="D11" s="203" t="s">
        <v>37</v>
      </c>
      <c r="E11" s="193" t="s">
        <v>815</v>
      </c>
      <c r="F11" s="188"/>
      <c r="G11" s="188"/>
      <c r="H11" s="191">
        <f>SUM(H6:H9)</f>
        <v>34</v>
      </c>
    </row>
    <row r="12">
      <c r="A12" s="196" t="s">
        <v>816</v>
      </c>
      <c r="B12" s="197" t="s">
        <v>810</v>
      </c>
      <c r="C12" s="202" t="s">
        <v>52</v>
      </c>
      <c r="D12" s="198" t="s">
        <v>811</v>
      </c>
      <c r="E12" s="193" t="s">
        <v>816</v>
      </c>
      <c r="F12" s="188"/>
      <c r="G12" s="188"/>
      <c r="H12" s="188"/>
    </row>
    <row r="13">
      <c r="A13" s="196" t="s">
        <v>817</v>
      </c>
      <c r="B13" s="197" t="s">
        <v>810</v>
      </c>
      <c r="C13" s="193" t="s">
        <v>33</v>
      </c>
      <c r="D13" s="201" t="s">
        <v>814</v>
      </c>
      <c r="E13" s="193" t="s">
        <v>817</v>
      </c>
      <c r="F13" s="188"/>
      <c r="G13" s="188"/>
      <c r="H13" s="188"/>
    </row>
    <row r="14">
      <c r="A14" s="196" t="s">
        <v>818</v>
      </c>
      <c r="B14" s="197" t="s">
        <v>810</v>
      </c>
      <c r="C14" s="202" t="s">
        <v>52</v>
      </c>
      <c r="D14" s="198" t="s">
        <v>811</v>
      </c>
      <c r="E14" s="193" t="s">
        <v>819</v>
      </c>
      <c r="F14" s="188"/>
      <c r="G14" s="188"/>
      <c r="H14" s="188"/>
    </row>
    <row r="15">
      <c r="A15" s="196" t="s">
        <v>367</v>
      </c>
      <c r="B15" s="197" t="s">
        <v>810</v>
      </c>
      <c r="C15" s="202" t="s">
        <v>52</v>
      </c>
      <c r="D15" s="204" t="s">
        <v>811</v>
      </c>
      <c r="E15" s="193" t="s">
        <v>367</v>
      </c>
      <c r="F15" s="188"/>
      <c r="G15" s="188"/>
      <c r="H15" s="188"/>
    </row>
    <row r="16">
      <c r="A16" s="196" t="s">
        <v>164</v>
      </c>
      <c r="B16" s="197" t="s">
        <v>810</v>
      </c>
      <c r="C16" s="193" t="s">
        <v>33</v>
      </c>
      <c r="D16" s="194" t="s">
        <v>75</v>
      </c>
      <c r="E16" s="193" t="s">
        <v>820</v>
      </c>
      <c r="F16" s="188"/>
      <c r="G16" s="188"/>
      <c r="H16" s="188"/>
    </row>
    <row r="17">
      <c r="A17" s="196" t="s">
        <v>821</v>
      </c>
      <c r="B17" s="197" t="s">
        <v>810</v>
      </c>
      <c r="C17" s="193" t="s">
        <v>33</v>
      </c>
      <c r="D17" s="198" t="s">
        <v>811</v>
      </c>
      <c r="E17" s="193" t="s">
        <v>822</v>
      </c>
      <c r="F17" s="188"/>
      <c r="G17" s="188"/>
      <c r="H17" s="188"/>
    </row>
    <row r="18">
      <c r="A18" s="196" t="s">
        <v>176</v>
      </c>
      <c r="B18" s="197" t="s">
        <v>810</v>
      </c>
      <c r="C18" s="193" t="s">
        <v>33</v>
      </c>
      <c r="D18" s="205" t="s">
        <v>37</v>
      </c>
      <c r="E18" s="193" t="s">
        <v>823</v>
      </c>
      <c r="F18" s="188"/>
      <c r="G18" s="188"/>
      <c r="H18" s="188"/>
    </row>
    <row r="19">
      <c r="A19" s="196" t="s">
        <v>182</v>
      </c>
      <c r="B19" s="197" t="s">
        <v>810</v>
      </c>
      <c r="C19" s="193" t="s">
        <v>33</v>
      </c>
      <c r="D19" s="194" t="s">
        <v>75</v>
      </c>
      <c r="E19" s="193" t="s">
        <v>182</v>
      </c>
      <c r="F19" s="188"/>
      <c r="G19" s="188"/>
      <c r="H19" s="188"/>
    </row>
    <row r="20">
      <c r="A20" s="196" t="s">
        <v>193</v>
      </c>
      <c r="B20" s="197" t="s">
        <v>810</v>
      </c>
      <c r="C20" s="193" t="s">
        <v>33</v>
      </c>
      <c r="D20" s="206" t="s">
        <v>75</v>
      </c>
      <c r="E20" s="207" t="s">
        <v>824</v>
      </c>
      <c r="F20" s="188"/>
      <c r="G20" s="188"/>
      <c r="H20" s="188"/>
    </row>
    <row r="21">
      <c r="A21" s="196" t="s">
        <v>187</v>
      </c>
      <c r="B21" s="197" t="s">
        <v>810</v>
      </c>
      <c r="C21" s="193" t="s">
        <v>33</v>
      </c>
      <c r="D21" s="194" t="s">
        <v>75</v>
      </c>
      <c r="E21" s="207" t="s">
        <v>187</v>
      </c>
      <c r="F21" s="188"/>
      <c r="G21" s="188"/>
      <c r="H21" s="188"/>
    </row>
    <row r="22">
      <c r="A22" s="196" t="s">
        <v>198</v>
      </c>
      <c r="B22" s="197" t="s">
        <v>810</v>
      </c>
      <c r="C22" s="193" t="s">
        <v>33</v>
      </c>
      <c r="D22" s="208" t="s">
        <v>811</v>
      </c>
      <c r="E22" s="209" t="s">
        <v>198</v>
      </c>
      <c r="F22" s="188"/>
      <c r="G22" s="188"/>
      <c r="H22" s="188"/>
    </row>
    <row r="23">
      <c r="A23" s="196" t="s">
        <v>825</v>
      </c>
      <c r="B23" s="197" t="s">
        <v>810</v>
      </c>
      <c r="C23" s="193" t="s">
        <v>33</v>
      </c>
      <c r="D23" s="208" t="s">
        <v>811</v>
      </c>
      <c r="E23" s="193" t="s">
        <v>825</v>
      </c>
      <c r="F23" s="188"/>
      <c r="G23" s="188"/>
      <c r="H23" s="188"/>
    </row>
    <row r="24">
      <c r="A24" s="196" t="s">
        <v>214</v>
      </c>
      <c r="B24" s="197" t="s">
        <v>810</v>
      </c>
      <c r="C24" s="202" t="s">
        <v>52</v>
      </c>
      <c r="D24" s="198" t="s">
        <v>811</v>
      </c>
      <c r="E24" s="193" t="s">
        <v>214</v>
      </c>
      <c r="F24" s="188"/>
      <c r="G24" s="188"/>
      <c r="H24" s="188"/>
    </row>
    <row r="25">
      <c r="A25" s="196" t="s">
        <v>826</v>
      </c>
      <c r="B25" s="197" t="s">
        <v>810</v>
      </c>
      <c r="C25" s="202" t="s">
        <v>52</v>
      </c>
      <c r="D25" s="204" t="s">
        <v>811</v>
      </c>
      <c r="E25" s="193" t="s">
        <v>827</v>
      </c>
      <c r="F25" s="188"/>
      <c r="G25" s="188"/>
      <c r="H25" s="188"/>
    </row>
    <row r="26">
      <c r="A26" s="196" t="s">
        <v>377</v>
      </c>
      <c r="B26" s="197" t="s">
        <v>810</v>
      </c>
      <c r="C26" s="202" t="s">
        <v>52</v>
      </c>
      <c r="D26" s="210" t="s">
        <v>828</v>
      </c>
      <c r="E26" s="193" t="s">
        <v>828</v>
      </c>
      <c r="F26" s="188"/>
      <c r="G26" s="188"/>
      <c r="H26" s="188"/>
    </row>
    <row r="27">
      <c r="A27" s="196" t="s">
        <v>382</v>
      </c>
      <c r="B27" s="197" t="s">
        <v>810</v>
      </c>
      <c r="C27" s="202" t="s">
        <v>52</v>
      </c>
      <c r="D27" s="201" t="s">
        <v>814</v>
      </c>
      <c r="E27" s="193" t="s">
        <v>829</v>
      </c>
      <c r="F27" s="188"/>
      <c r="G27" s="188"/>
      <c r="H27" s="188"/>
    </row>
    <row r="28">
      <c r="A28" s="192" t="s">
        <v>387</v>
      </c>
      <c r="B28" s="193" t="s">
        <v>830</v>
      </c>
      <c r="C28" s="193"/>
      <c r="D28" s="198" t="s">
        <v>811</v>
      </c>
      <c r="E28" s="193" t="s">
        <v>387</v>
      </c>
      <c r="F28" s="188"/>
      <c r="G28" s="188"/>
      <c r="H28" s="188"/>
    </row>
    <row r="29">
      <c r="A29" s="196" t="s">
        <v>219</v>
      </c>
      <c r="B29" s="197" t="s">
        <v>810</v>
      </c>
      <c r="C29" s="202" t="s">
        <v>52</v>
      </c>
      <c r="D29" s="205" t="s">
        <v>37</v>
      </c>
      <c r="E29" s="193" t="s">
        <v>219</v>
      </c>
      <c r="F29" s="188"/>
      <c r="G29" s="188"/>
      <c r="H29" s="188"/>
    </row>
    <row r="30">
      <c r="A30" s="196" t="s">
        <v>372</v>
      </c>
      <c r="B30" s="197" t="s">
        <v>810</v>
      </c>
      <c r="C30" s="202" t="s">
        <v>52</v>
      </c>
      <c r="D30" s="210" t="s">
        <v>828</v>
      </c>
      <c r="E30" s="193" t="s">
        <v>828</v>
      </c>
      <c r="F30" s="188"/>
      <c r="G30" s="188"/>
      <c r="H30" s="188"/>
    </row>
    <row r="31">
      <c r="A31" s="192" t="s">
        <v>330</v>
      </c>
      <c r="B31" s="193" t="s">
        <v>807</v>
      </c>
      <c r="C31" s="193" t="s">
        <v>808</v>
      </c>
      <c r="D31" s="201" t="s">
        <v>814</v>
      </c>
      <c r="E31" s="193" t="s">
        <v>330</v>
      </c>
      <c r="F31" s="188"/>
      <c r="G31" s="188"/>
      <c r="H31" s="188"/>
    </row>
    <row r="32">
      <c r="A32" s="196" t="s">
        <v>102</v>
      </c>
      <c r="B32" s="197" t="s">
        <v>810</v>
      </c>
      <c r="C32" s="193" t="s">
        <v>33</v>
      </c>
      <c r="D32" s="198" t="s">
        <v>811</v>
      </c>
      <c r="E32" s="193" t="s">
        <v>102</v>
      </c>
      <c r="F32" s="188"/>
      <c r="G32" s="188"/>
      <c r="H32" s="188"/>
    </row>
    <row r="33">
      <c r="A33" s="196" t="s">
        <v>831</v>
      </c>
      <c r="B33" s="197" t="s">
        <v>810</v>
      </c>
      <c r="C33" s="193" t="s">
        <v>33</v>
      </c>
      <c r="D33" s="194" t="s">
        <v>75</v>
      </c>
      <c r="E33" s="193" t="s">
        <v>832</v>
      </c>
      <c r="F33" s="188"/>
      <c r="G33" s="188"/>
      <c r="H33" s="188"/>
    </row>
    <row r="34">
      <c r="A34" s="196" t="s">
        <v>631</v>
      </c>
      <c r="B34" s="197" t="s">
        <v>810</v>
      </c>
      <c r="C34" s="193"/>
      <c r="D34" s="201" t="s">
        <v>814</v>
      </c>
      <c r="E34" s="193" t="s">
        <v>631</v>
      </c>
      <c r="F34" s="188"/>
      <c r="G34" s="188"/>
      <c r="H34" s="188"/>
    </row>
    <row r="35">
      <c r="A35" s="196" t="s">
        <v>92</v>
      </c>
      <c r="B35" s="197" t="s">
        <v>810</v>
      </c>
      <c r="C35" s="193" t="s">
        <v>33</v>
      </c>
      <c r="D35" s="201" t="s">
        <v>814</v>
      </c>
      <c r="E35" s="193" t="s">
        <v>92</v>
      </c>
      <c r="F35" s="188"/>
      <c r="G35" s="188"/>
      <c r="H35" s="188"/>
    </row>
    <row r="36">
      <c r="A36" s="196" t="s">
        <v>833</v>
      </c>
      <c r="B36" s="197" t="s">
        <v>810</v>
      </c>
      <c r="C36" s="202" t="s">
        <v>52</v>
      </c>
      <c r="D36" s="208" t="s">
        <v>811</v>
      </c>
      <c r="E36" s="193" t="s">
        <v>344</v>
      </c>
      <c r="F36" s="188"/>
      <c r="G36" s="188"/>
      <c r="H36" s="188"/>
    </row>
    <row r="37">
      <c r="A37" s="196" t="s">
        <v>40</v>
      </c>
      <c r="B37" s="197" t="s">
        <v>810</v>
      </c>
      <c r="C37" s="193" t="s">
        <v>33</v>
      </c>
      <c r="D37" s="198" t="s">
        <v>811</v>
      </c>
      <c r="E37" s="193" t="s">
        <v>40</v>
      </c>
      <c r="F37" s="188"/>
      <c r="G37" s="188"/>
      <c r="H37" s="188"/>
    </row>
    <row r="38">
      <c r="A38" s="192" t="s">
        <v>345</v>
      </c>
      <c r="B38" s="193" t="s">
        <v>807</v>
      </c>
      <c r="C38" s="193" t="s">
        <v>808</v>
      </c>
      <c r="D38" s="201" t="s">
        <v>814</v>
      </c>
      <c r="E38" s="193" t="s">
        <v>345</v>
      </c>
      <c r="F38" s="188"/>
      <c r="G38" s="188"/>
      <c r="H38" s="188"/>
    </row>
    <row r="39">
      <c r="A39" s="196" t="s">
        <v>24</v>
      </c>
      <c r="B39" s="197" t="s">
        <v>810</v>
      </c>
      <c r="C39" s="193" t="s">
        <v>33</v>
      </c>
      <c r="D39" s="211" t="s">
        <v>37</v>
      </c>
      <c r="E39" s="193" t="s">
        <v>24</v>
      </c>
      <c r="F39" s="188"/>
      <c r="G39" s="188"/>
      <c r="H39" s="188"/>
    </row>
    <row r="40">
      <c r="A40" s="196" t="s">
        <v>50</v>
      </c>
      <c r="B40" s="197" t="s">
        <v>810</v>
      </c>
      <c r="C40" s="202" t="s">
        <v>52</v>
      </c>
      <c r="D40" s="201" t="s">
        <v>814</v>
      </c>
      <c r="E40" s="193" t="s">
        <v>50</v>
      </c>
      <c r="F40" s="188"/>
      <c r="G40" s="188"/>
      <c r="H40" s="188"/>
    </row>
    <row r="41">
      <c r="A41" s="192" t="s">
        <v>69</v>
      </c>
      <c r="B41" s="193" t="s">
        <v>807</v>
      </c>
      <c r="C41" s="193" t="s">
        <v>808</v>
      </c>
      <c r="D41" s="194" t="s">
        <v>75</v>
      </c>
      <c r="E41" s="193" t="s">
        <v>76</v>
      </c>
      <c r="F41" s="188"/>
      <c r="G41" s="188"/>
      <c r="H41" s="188"/>
    </row>
    <row r="42">
      <c r="A42" s="196" t="s">
        <v>67</v>
      </c>
      <c r="B42" s="197" t="s">
        <v>810</v>
      </c>
      <c r="C42" s="193"/>
      <c r="D42" s="201" t="s">
        <v>814</v>
      </c>
      <c r="E42" s="193" t="s">
        <v>67</v>
      </c>
      <c r="F42" s="188"/>
      <c r="G42" s="188"/>
      <c r="H42" s="188"/>
    </row>
    <row r="43">
      <c r="A43" s="192" t="s">
        <v>834</v>
      </c>
      <c r="B43" s="193" t="s">
        <v>807</v>
      </c>
      <c r="C43" s="193" t="s">
        <v>808</v>
      </c>
      <c r="D43" s="201" t="s">
        <v>814</v>
      </c>
      <c r="E43" s="193" t="s">
        <v>834</v>
      </c>
      <c r="F43" s="188"/>
      <c r="G43" s="188"/>
      <c r="H43" s="188"/>
    </row>
    <row r="44">
      <c r="A44" s="196" t="s">
        <v>835</v>
      </c>
      <c r="B44" s="197" t="s">
        <v>810</v>
      </c>
      <c r="C44" s="193"/>
      <c r="D44" s="201" t="s">
        <v>814</v>
      </c>
      <c r="E44" s="193" t="s">
        <v>835</v>
      </c>
      <c r="F44" s="188"/>
      <c r="G44" s="188"/>
      <c r="H44" s="188"/>
    </row>
    <row r="45">
      <c r="A45" s="196" t="s">
        <v>352</v>
      </c>
      <c r="B45" s="197" t="s">
        <v>810</v>
      </c>
      <c r="C45" s="193" t="s">
        <v>33</v>
      </c>
      <c r="D45" s="212" t="s">
        <v>811</v>
      </c>
      <c r="E45" s="193" t="s">
        <v>359</v>
      </c>
      <c r="F45" s="188"/>
      <c r="G45" s="188"/>
      <c r="H45" s="188"/>
    </row>
    <row r="46">
      <c r="A46" s="196" t="s">
        <v>783</v>
      </c>
      <c r="B46" s="197" t="s">
        <v>810</v>
      </c>
      <c r="C46" s="193" t="s">
        <v>33</v>
      </c>
      <c r="D46" s="213" t="s">
        <v>75</v>
      </c>
      <c r="E46" s="193" t="s">
        <v>83</v>
      </c>
      <c r="F46" s="188"/>
      <c r="G46" s="188"/>
      <c r="H46" s="188"/>
    </row>
    <row r="47">
      <c r="A47" s="196" t="s">
        <v>836</v>
      </c>
      <c r="B47" s="197" t="s">
        <v>810</v>
      </c>
      <c r="C47" s="202" t="s">
        <v>52</v>
      </c>
      <c r="D47" s="212" t="s">
        <v>811</v>
      </c>
      <c r="E47" s="193" t="s">
        <v>836</v>
      </c>
      <c r="F47" s="188"/>
      <c r="G47" s="188"/>
      <c r="H47" s="188"/>
    </row>
    <row r="48">
      <c r="A48" s="192" t="s">
        <v>394</v>
      </c>
      <c r="B48" s="193" t="s">
        <v>807</v>
      </c>
      <c r="C48" s="193" t="s">
        <v>808</v>
      </c>
      <c r="D48" s="201" t="s">
        <v>814</v>
      </c>
      <c r="E48" s="193" t="s">
        <v>394</v>
      </c>
      <c r="F48" s="188"/>
      <c r="G48" s="188"/>
      <c r="H48" s="188"/>
    </row>
    <row r="49">
      <c r="A49" s="196" t="s">
        <v>230</v>
      </c>
      <c r="B49" s="197" t="s">
        <v>810</v>
      </c>
      <c r="C49" s="202" t="s">
        <v>52</v>
      </c>
      <c r="D49" s="194" t="s">
        <v>75</v>
      </c>
      <c r="E49" s="214" t="s">
        <v>837</v>
      </c>
      <c r="F49" s="188"/>
      <c r="G49" s="188"/>
      <c r="H49" s="188"/>
    </row>
    <row r="50">
      <c r="A50" s="192" t="s">
        <v>255</v>
      </c>
      <c r="B50" s="193" t="s">
        <v>807</v>
      </c>
      <c r="C50" s="193" t="s">
        <v>808</v>
      </c>
      <c r="D50" s="201" t="s">
        <v>814</v>
      </c>
      <c r="E50" s="193" t="s">
        <v>255</v>
      </c>
      <c r="F50" s="188"/>
      <c r="G50" s="188"/>
      <c r="H50" s="188"/>
    </row>
    <row r="51">
      <c r="A51" s="196" t="s">
        <v>235</v>
      </c>
      <c r="B51" s="197" t="s">
        <v>810</v>
      </c>
      <c r="C51" s="202" t="s">
        <v>52</v>
      </c>
      <c r="D51" s="194" t="s">
        <v>75</v>
      </c>
      <c r="E51" s="193" t="s">
        <v>838</v>
      </c>
      <c r="F51" s="188"/>
      <c r="G51" s="188"/>
      <c r="H51" s="188"/>
    </row>
    <row r="52">
      <c r="A52" s="196" t="s">
        <v>240</v>
      </c>
      <c r="B52" s="197" t="s">
        <v>810</v>
      </c>
      <c r="C52" s="202" t="s">
        <v>52</v>
      </c>
      <c r="D52" s="211" t="s">
        <v>37</v>
      </c>
      <c r="E52" s="193" t="s">
        <v>839</v>
      </c>
      <c r="F52" s="188"/>
      <c r="G52" s="188"/>
      <c r="H52" s="188"/>
    </row>
    <row r="53">
      <c r="A53" s="192" t="s">
        <v>840</v>
      </c>
      <c r="B53" s="193" t="s">
        <v>807</v>
      </c>
      <c r="C53" s="193"/>
      <c r="D53" s="210" t="s">
        <v>828</v>
      </c>
      <c r="E53" s="193" t="s">
        <v>828</v>
      </c>
      <c r="F53" s="188"/>
      <c r="G53" s="188"/>
      <c r="H53" s="188"/>
    </row>
    <row r="54">
      <c r="A54" s="193"/>
      <c r="B54" s="193"/>
      <c r="C54" s="193"/>
      <c r="D54" s="193"/>
      <c r="E54" s="193"/>
      <c r="F54" s="188"/>
      <c r="G54" s="188"/>
      <c r="H54" s="188"/>
    </row>
    <row r="55">
      <c r="A55" s="193"/>
      <c r="B55" s="193"/>
      <c r="C55" s="193"/>
      <c r="D55" s="193"/>
      <c r="E55" s="193"/>
      <c r="F55" s="188"/>
      <c r="G55" s="188"/>
      <c r="H55" s="188"/>
    </row>
    <row r="56">
      <c r="A56" s="193"/>
      <c r="B56" s="193"/>
      <c r="C56" s="193"/>
      <c r="D56" s="193"/>
      <c r="E56" s="193"/>
      <c r="F56" s="188"/>
      <c r="G56" s="188"/>
      <c r="H56" s="188"/>
    </row>
    <row r="57">
      <c r="A57" s="189" t="s">
        <v>841</v>
      </c>
      <c r="B57" s="193"/>
      <c r="C57" s="193"/>
      <c r="D57" s="193"/>
      <c r="E57" s="193"/>
      <c r="F57" s="188"/>
      <c r="G57" s="188"/>
      <c r="H57" s="188"/>
    </row>
    <row r="58">
      <c r="A58" s="196" t="s">
        <v>275</v>
      </c>
      <c r="B58" s="197" t="s">
        <v>810</v>
      </c>
      <c r="C58" s="202" t="s">
        <v>52</v>
      </c>
      <c r="D58" s="193"/>
      <c r="E58" s="193"/>
      <c r="F58" s="188"/>
      <c r="G58" s="188"/>
      <c r="H58" s="188"/>
    </row>
    <row r="59">
      <c r="A59" s="215" t="s">
        <v>280</v>
      </c>
      <c r="B59" s="197" t="s">
        <v>810</v>
      </c>
      <c r="C59" s="193" t="s">
        <v>33</v>
      </c>
      <c r="D59" s="193"/>
      <c r="E59" s="193"/>
      <c r="F59" s="188"/>
      <c r="G59" s="188"/>
      <c r="H59" s="188"/>
    </row>
    <row r="60">
      <c r="A60" s="196" t="s">
        <v>438</v>
      </c>
      <c r="B60" s="197" t="s">
        <v>810</v>
      </c>
      <c r="C60" s="202" t="s">
        <v>52</v>
      </c>
      <c r="D60" s="193"/>
      <c r="E60" s="193"/>
      <c r="F60" s="188"/>
      <c r="G60" s="188"/>
      <c r="H60" s="188"/>
    </row>
    <row r="61">
      <c r="A61" s="196" t="s">
        <v>448</v>
      </c>
      <c r="B61" s="197" t="s">
        <v>810</v>
      </c>
      <c r="C61" s="202" t="s">
        <v>52</v>
      </c>
      <c r="D61" s="193"/>
      <c r="E61" s="193"/>
      <c r="F61" s="188"/>
      <c r="G61" s="188"/>
      <c r="H61" s="188"/>
    </row>
    <row r="62">
      <c r="A62" s="196" t="s">
        <v>842</v>
      </c>
      <c r="B62" s="197" t="s">
        <v>810</v>
      </c>
      <c r="C62" s="193" t="s">
        <v>33</v>
      </c>
      <c r="D62" s="193"/>
      <c r="E62" s="193"/>
      <c r="F62" s="188"/>
      <c r="G62" s="188"/>
      <c r="H62" s="188"/>
    </row>
    <row r="63">
      <c r="A63" s="196" t="s">
        <v>843</v>
      </c>
      <c r="B63" s="197" t="s">
        <v>810</v>
      </c>
      <c r="C63" s="202" t="s">
        <v>52</v>
      </c>
      <c r="D63" s="193"/>
      <c r="E63" s="193"/>
      <c r="F63" s="188"/>
      <c r="G63" s="188"/>
      <c r="H63" s="188"/>
    </row>
    <row r="64">
      <c r="A64" s="196" t="s">
        <v>260</v>
      </c>
      <c r="B64" s="197" t="s">
        <v>810</v>
      </c>
      <c r="C64" s="193" t="s">
        <v>33</v>
      </c>
      <c r="D64" s="193"/>
      <c r="E64" s="193"/>
      <c r="F64" s="188"/>
      <c r="G64" s="188"/>
      <c r="H64" s="188"/>
    </row>
    <row r="65">
      <c r="A65" s="196" t="s">
        <v>267</v>
      </c>
      <c r="B65" s="197" t="s">
        <v>810</v>
      </c>
      <c r="C65" s="193" t="s">
        <v>33</v>
      </c>
      <c r="D65" s="193"/>
      <c r="E65" s="193"/>
      <c r="F65" s="188"/>
      <c r="G65" s="188"/>
      <c r="H65" s="188"/>
    </row>
    <row r="66">
      <c r="A66" s="196" t="s">
        <v>303</v>
      </c>
      <c r="B66" s="197" t="s">
        <v>810</v>
      </c>
      <c r="C66" s="193"/>
      <c r="D66" s="193"/>
      <c r="E66" s="193"/>
      <c r="F66" s="188"/>
      <c r="G66" s="188"/>
      <c r="H66" s="188"/>
    </row>
    <row r="67">
      <c r="A67" s="196" t="s">
        <v>844</v>
      </c>
      <c r="B67" s="197" t="s">
        <v>810</v>
      </c>
      <c r="C67" s="202" t="s">
        <v>845</v>
      </c>
      <c r="D67" s="193"/>
      <c r="E67" s="193"/>
      <c r="F67" s="188"/>
      <c r="G67" s="188"/>
      <c r="H67" s="188"/>
    </row>
    <row r="68">
      <c r="A68" s="193"/>
      <c r="B68" s="193"/>
      <c r="C68" s="193"/>
      <c r="D68" s="193"/>
      <c r="E68" s="193"/>
      <c r="F68" s="188"/>
      <c r="G68" s="188"/>
      <c r="H68" s="188"/>
    </row>
    <row r="69">
      <c r="A69" s="193"/>
      <c r="B69" s="193"/>
      <c r="C69" s="193"/>
      <c r="D69" s="193"/>
      <c r="E69" s="193"/>
      <c r="F69" s="188"/>
      <c r="G69" s="188"/>
      <c r="H69" s="188"/>
    </row>
    <row r="70">
      <c r="A70" s="193" t="s">
        <v>846</v>
      </c>
      <c r="B70" s="216">
        <v>49.0</v>
      </c>
      <c r="C70" s="193"/>
      <c r="D70" s="193"/>
      <c r="E70" s="193"/>
      <c r="F70" s="188"/>
      <c r="G70" s="188"/>
      <c r="H70" s="188"/>
    </row>
    <row r="71">
      <c r="A71" s="193" t="s">
        <v>847</v>
      </c>
      <c r="B71" s="193"/>
      <c r="C71" s="216">
        <v>20.0</v>
      </c>
      <c r="D71" s="193"/>
      <c r="E71" s="193"/>
      <c r="F71" s="188"/>
      <c r="G71" s="188"/>
      <c r="H71" s="188"/>
    </row>
    <row r="72">
      <c r="A72" s="193" t="s">
        <v>848</v>
      </c>
      <c r="B72" s="193"/>
      <c r="C72" s="216">
        <v>21.0</v>
      </c>
      <c r="D72" s="193"/>
      <c r="E72" s="193"/>
      <c r="F72" s="188"/>
      <c r="G72" s="188"/>
      <c r="H72" s="1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2" max="2" width="58.0"/>
    <col customWidth="1" min="3" max="3" width="41.5"/>
    <col customWidth="1" min="4" max="4" width="14.0"/>
    <col customWidth="1" min="6" max="6" width="19.75"/>
    <col customWidth="1" min="7" max="7" width="13.25"/>
    <col customWidth="1" min="8" max="8" width="32.5"/>
    <col customWidth="1" min="9" max="9" width="24.38"/>
    <col customWidth="1" min="10" max="10" width="17.25"/>
    <col customWidth="1" min="11" max="11" width="19.25"/>
  </cols>
  <sheetData>
    <row r="1">
      <c r="A1" s="183" t="s">
        <v>849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</row>
    <row r="3">
      <c r="A3" s="189" t="s">
        <v>802</v>
      </c>
      <c r="B3" s="189" t="s">
        <v>850</v>
      </c>
      <c r="C3" s="189" t="s">
        <v>851</v>
      </c>
      <c r="D3" s="189" t="s">
        <v>852</v>
      </c>
      <c r="E3" s="217" t="s">
        <v>10</v>
      </c>
      <c r="F3" s="189" t="s">
        <v>853</v>
      </c>
      <c r="G3" s="193"/>
      <c r="H3" s="189" t="s">
        <v>21</v>
      </c>
      <c r="I3" s="189" t="s">
        <v>16</v>
      </c>
      <c r="J3" s="189" t="s">
        <v>854</v>
      </c>
      <c r="K3" s="189" t="s">
        <v>855</v>
      </c>
    </row>
    <row r="4">
      <c r="A4" s="218" t="s">
        <v>856</v>
      </c>
      <c r="B4" s="219" t="s">
        <v>728</v>
      </c>
      <c r="C4" s="193"/>
      <c r="D4" s="193"/>
      <c r="E4" s="220">
        <v>3.0</v>
      </c>
      <c r="F4" s="218" t="s">
        <v>857</v>
      </c>
      <c r="G4" s="193"/>
      <c r="H4" s="193"/>
      <c r="I4" s="218" t="s">
        <v>858</v>
      </c>
      <c r="J4" s="218" t="s">
        <v>859</v>
      </c>
      <c r="K4" s="218" t="s">
        <v>860</v>
      </c>
    </row>
    <row r="5">
      <c r="A5" s="218" t="s">
        <v>861</v>
      </c>
      <c r="B5" s="219" t="s">
        <v>600</v>
      </c>
      <c r="C5" s="218" t="s">
        <v>862</v>
      </c>
      <c r="D5" s="193"/>
      <c r="E5" s="220">
        <v>1.0</v>
      </c>
      <c r="F5" s="218" t="s">
        <v>857</v>
      </c>
      <c r="G5" s="193"/>
      <c r="H5" s="193"/>
      <c r="I5" s="193"/>
      <c r="J5" s="193"/>
      <c r="K5" s="193"/>
    </row>
    <row r="6">
      <c r="A6" s="218" t="s">
        <v>863</v>
      </c>
      <c r="B6" s="219" t="s">
        <v>565</v>
      </c>
      <c r="C6" s="218" t="s">
        <v>864</v>
      </c>
      <c r="D6" s="193"/>
      <c r="E6" s="220">
        <v>1.0</v>
      </c>
      <c r="F6" s="218" t="s">
        <v>857</v>
      </c>
      <c r="G6" s="193"/>
      <c r="H6" s="193"/>
      <c r="I6" s="193"/>
      <c r="J6" s="193"/>
      <c r="K6" s="218" t="s">
        <v>865</v>
      </c>
    </row>
    <row r="7">
      <c r="A7" s="218" t="s">
        <v>866</v>
      </c>
      <c r="B7" s="219" t="s">
        <v>705</v>
      </c>
      <c r="C7" s="218" t="s">
        <v>867</v>
      </c>
      <c r="D7" s="193"/>
      <c r="E7" s="220">
        <v>1.0</v>
      </c>
      <c r="F7" s="218" t="s">
        <v>857</v>
      </c>
      <c r="G7" s="193"/>
      <c r="H7" s="193"/>
      <c r="I7" s="193"/>
      <c r="J7" s="193"/>
      <c r="K7" s="218" t="s">
        <v>868</v>
      </c>
    </row>
    <row r="8">
      <c r="A8" s="218" t="s">
        <v>686</v>
      </c>
      <c r="B8" s="219" t="s">
        <v>688</v>
      </c>
      <c r="C8" s="221" t="s">
        <v>869</v>
      </c>
      <c r="D8" s="193"/>
      <c r="E8" s="222">
        <v>1.0</v>
      </c>
      <c r="F8" s="221" t="s">
        <v>870</v>
      </c>
      <c r="G8" s="193"/>
      <c r="H8" s="221" t="s">
        <v>871</v>
      </c>
      <c r="I8" s="221" t="s">
        <v>872</v>
      </c>
      <c r="J8" s="221" t="s">
        <v>873</v>
      </c>
      <c r="K8" s="221" t="s">
        <v>874</v>
      </c>
    </row>
    <row r="9">
      <c r="A9" s="218" t="s">
        <v>875</v>
      </c>
      <c r="B9" s="223" t="s">
        <v>876</v>
      </c>
      <c r="C9" s="218" t="s">
        <v>410</v>
      </c>
      <c r="D9" s="193"/>
      <c r="E9" s="220">
        <v>1.0</v>
      </c>
      <c r="F9" s="218" t="s">
        <v>870</v>
      </c>
      <c r="G9" s="193"/>
      <c r="H9" s="193"/>
      <c r="I9" s="193"/>
      <c r="J9" s="193"/>
      <c r="K9" s="218" t="s">
        <v>877</v>
      </c>
    </row>
    <row r="10">
      <c r="A10" s="218" t="s">
        <v>878</v>
      </c>
      <c r="B10" s="223" t="s">
        <v>879</v>
      </c>
      <c r="C10" s="218" t="s">
        <v>880</v>
      </c>
      <c r="D10" s="193"/>
      <c r="E10" s="220">
        <v>1.0</v>
      </c>
      <c r="F10" s="218" t="s">
        <v>881</v>
      </c>
      <c r="G10" s="193"/>
      <c r="H10" s="193"/>
      <c r="I10" s="193"/>
      <c r="J10" s="193"/>
      <c r="K10" s="218" t="s">
        <v>882</v>
      </c>
    </row>
    <row r="11">
      <c r="A11" s="218" t="s">
        <v>883</v>
      </c>
      <c r="B11" s="223" t="s">
        <v>884</v>
      </c>
      <c r="C11" s="218" t="s">
        <v>885</v>
      </c>
      <c r="D11" s="193"/>
      <c r="E11" s="220">
        <v>1.0</v>
      </c>
      <c r="F11" s="218" t="s">
        <v>886</v>
      </c>
      <c r="G11" s="193"/>
      <c r="H11" s="193"/>
      <c r="I11" s="193"/>
      <c r="J11" s="193"/>
      <c r="K11" s="218" t="s">
        <v>882</v>
      </c>
    </row>
    <row r="12">
      <c r="A12" s="224" t="s">
        <v>887</v>
      </c>
      <c r="B12" s="225" t="s">
        <v>888</v>
      </c>
      <c r="C12" s="192" t="s">
        <v>889</v>
      </c>
      <c r="D12" s="193"/>
      <c r="E12" s="226">
        <v>1.0</v>
      </c>
      <c r="F12" s="192" t="s">
        <v>890</v>
      </c>
      <c r="G12" s="193"/>
      <c r="H12" s="192" t="s">
        <v>871</v>
      </c>
      <c r="I12" s="192" t="s">
        <v>891</v>
      </c>
      <c r="J12" s="193"/>
      <c r="K12" s="192" t="s">
        <v>892</v>
      </c>
    </row>
    <row r="13">
      <c r="A13" s="227" t="s">
        <v>147</v>
      </c>
      <c r="B13" s="225" t="s">
        <v>893</v>
      </c>
      <c r="C13" s="192" t="s">
        <v>150</v>
      </c>
      <c r="D13" s="192" t="s">
        <v>33</v>
      </c>
      <c r="E13" s="226">
        <v>1.0</v>
      </c>
      <c r="F13" s="192" t="s">
        <v>890</v>
      </c>
      <c r="G13" s="193"/>
      <c r="H13" s="192" t="s">
        <v>894</v>
      </c>
      <c r="I13" s="192" t="s">
        <v>895</v>
      </c>
      <c r="J13" s="192" t="s">
        <v>896</v>
      </c>
      <c r="K13" s="192" t="s">
        <v>882</v>
      </c>
    </row>
    <row r="14">
      <c r="A14" s="192" t="s">
        <v>153</v>
      </c>
      <c r="B14" s="225" t="s">
        <v>897</v>
      </c>
      <c r="C14" s="192" t="s">
        <v>898</v>
      </c>
      <c r="D14" s="193"/>
      <c r="E14" s="226">
        <v>1.0</v>
      </c>
      <c r="F14" s="192" t="s">
        <v>890</v>
      </c>
      <c r="G14" s="193"/>
      <c r="H14" s="192" t="s">
        <v>899</v>
      </c>
      <c r="I14" s="192" t="s">
        <v>900</v>
      </c>
      <c r="J14" s="192" t="s">
        <v>901</v>
      </c>
      <c r="K14" s="192" t="s">
        <v>902</v>
      </c>
    </row>
    <row r="15">
      <c r="A15" s="227" t="s">
        <v>903</v>
      </c>
      <c r="B15" s="228" t="s">
        <v>904</v>
      </c>
      <c r="C15" s="192" t="s">
        <v>162</v>
      </c>
      <c r="D15" s="192" t="s">
        <v>33</v>
      </c>
      <c r="E15" s="226">
        <v>1.0</v>
      </c>
      <c r="F15" s="192" t="s">
        <v>890</v>
      </c>
      <c r="G15" s="193"/>
      <c r="H15" s="192" t="s">
        <v>905</v>
      </c>
      <c r="I15" s="192" t="s">
        <v>906</v>
      </c>
      <c r="J15" s="192" t="s">
        <v>907</v>
      </c>
      <c r="K15" s="192" t="s">
        <v>860</v>
      </c>
    </row>
    <row r="16">
      <c r="A16" s="227" t="s">
        <v>136</v>
      </c>
      <c r="B16" s="225" t="s">
        <v>908</v>
      </c>
      <c r="C16" s="192" t="s">
        <v>139</v>
      </c>
      <c r="D16" s="192" t="s">
        <v>52</v>
      </c>
      <c r="E16" s="226">
        <v>1.0</v>
      </c>
      <c r="F16" s="192" t="s">
        <v>890</v>
      </c>
      <c r="G16" s="193"/>
      <c r="H16" s="192" t="s">
        <v>909</v>
      </c>
      <c r="I16" s="192" t="s">
        <v>910</v>
      </c>
      <c r="J16" s="192" t="s">
        <v>911</v>
      </c>
      <c r="K16" s="192" t="s">
        <v>860</v>
      </c>
    </row>
    <row r="17">
      <c r="A17" s="229" t="s">
        <v>131</v>
      </c>
      <c r="B17" s="225" t="s">
        <v>135</v>
      </c>
      <c r="C17" s="192" t="s">
        <v>134</v>
      </c>
      <c r="D17" s="192" t="s">
        <v>52</v>
      </c>
      <c r="E17" s="226">
        <v>1.0</v>
      </c>
      <c r="F17" s="192" t="s">
        <v>890</v>
      </c>
      <c r="G17" s="193"/>
      <c r="H17" s="192" t="s">
        <v>912</v>
      </c>
      <c r="I17" s="192" t="s">
        <v>891</v>
      </c>
      <c r="J17" s="193"/>
      <c r="K17" s="192" t="s">
        <v>892</v>
      </c>
    </row>
    <row r="18">
      <c r="A18" s="227" t="s">
        <v>126</v>
      </c>
      <c r="B18" s="225" t="s">
        <v>913</v>
      </c>
      <c r="C18" s="192" t="s">
        <v>129</v>
      </c>
      <c r="D18" s="192" t="s">
        <v>33</v>
      </c>
      <c r="E18" s="226">
        <v>1.0</v>
      </c>
      <c r="F18" s="192" t="s">
        <v>890</v>
      </c>
      <c r="G18" s="193"/>
      <c r="H18" s="192" t="s">
        <v>914</v>
      </c>
      <c r="I18" s="230" t="s">
        <v>915</v>
      </c>
      <c r="J18" s="192" t="s">
        <v>916</v>
      </c>
      <c r="K18" s="192" t="s">
        <v>917</v>
      </c>
    </row>
    <row r="19">
      <c r="A19" s="218" t="s">
        <v>699</v>
      </c>
      <c r="B19" s="223" t="s">
        <v>918</v>
      </c>
      <c r="C19" s="218" t="s">
        <v>919</v>
      </c>
      <c r="D19" s="193"/>
      <c r="E19" s="220">
        <v>1.0</v>
      </c>
      <c r="F19" s="218" t="s">
        <v>920</v>
      </c>
      <c r="G19" s="193"/>
      <c r="H19" s="193"/>
      <c r="I19" s="193"/>
      <c r="J19" s="193"/>
      <c r="K19" s="218" t="s">
        <v>882</v>
      </c>
    </row>
    <row r="20">
      <c r="A20" s="218" t="s">
        <v>602</v>
      </c>
      <c r="B20" s="223" t="s">
        <v>921</v>
      </c>
      <c r="C20" s="218" t="s">
        <v>922</v>
      </c>
      <c r="D20" s="193"/>
      <c r="E20" s="220">
        <v>1.0</v>
      </c>
      <c r="F20" s="218" t="s">
        <v>923</v>
      </c>
      <c r="G20" s="193"/>
      <c r="H20" s="193"/>
      <c r="I20" s="193"/>
      <c r="J20" s="193"/>
      <c r="K20" s="218" t="s">
        <v>882</v>
      </c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</row>
    <row r="22">
      <c r="A22" s="189" t="s">
        <v>924</v>
      </c>
      <c r="B22" s="193"/>
      <c r="C22" s="193"/>
      <c r="D22" s="193"/>
      <c r="E22" s="193"/>
      <c r="F22" s="193"/>
      <c r="G22" s="193"/>
      <c r="H22" s="193"/>
      <c r="I22" s="193"/>
      <c r="J22" s="193"/>
      <c r="K22" s="193"/>
    </row>
    <row r="23">
      <c r="A23" s="189" t="s">
        <v>802</v>
      </c>
      <c r="B23" s="189" t="s">
        <v>850</v>
      </c>
      <c r="C23" s="189" t="s">
        <v>851</v>
      </c>
      <c r="D23" s="193"/>
      <c r="E23" s="217" t="s">
        <v>10</v>
      </c>
      <c r="F23" s="189" t="s">
        <v>853</v>
      </c>
      <c r="G23" s="193"/>
      <c r="H23" s="193"/>
      <c r="I23" s="193"/>
      <c r="J23" s="193"/>
      <c r="K23" s="193"/>
    </row>
    <row r="24">
      <c r="A24" s="227" t="s">
        <v>925</v>
      </c>
      <c r="B24" s="225" t="s">
        <v>926</v>
      </c>
      <c r="C24" s="192" t="s">
        <v>123</v>
      </c>
      <c r="D24" s="192" t="s">
        <v>52</v>
      </c>
      <c r="E24" s="226">
        <v>1.0</v>
      </c>
      <c r="F24" s="192" t="s">
        <v>927</v>
      </c>
      <c r="G24" s="193"/>
      <c r="H24" s="192" t="s">
        <v>905</v>
      </c>
      <c r="I24" s="192" t="s">
        <v>928</v>
      </c>
      <c r="J24" s="192" t="s">
        <v>929</v>
      </c>
      <c r="K24" s="192" t="s">
        <v>930</v>
      </c>
    </row>
    <row r="25">
      <c r="A25" s="229" t="s">
        <v>367</v>
      </c>
      <c r="B25" s="225" t="s">
        <v>931</v>
      </c>
      <c r="C25" s="192" t="s">
        <v>932</v>
      </c>
      <c r="D25" s="192" t="s">
        <v>52</v>
      </c>
      <c r="E25" s="226">
        <v>1.0</v>
      </c>
      <c r="F25" s="192" t="s">
        <v>933</v>
      </c>
      <c r="G25" s="193"/>
      <c r="H25" s="193"/>
      <c r="I25" s="193"/>
      <c r="J25" s="193"/>
      <c r="K25" s="192" t="s">
        <v>934</v>
      </c>
    </row>
    <row r="26">
      <c r="A26" s="227" t="s">
        <v>164</v>
      </c>
      <c r="B26" s="225" t="s">
        <v>935</v>
      </c>
      <c r="C26" s="192" t="s">
        <v>936</v>
      </c>
      <c r="D26" s="192" t="s">
        <v>33</v>
      </c>
      <c r="E26" s="226">
        <v>1.0</v>
      </c>
      <c r="F26" s="192" t="s">
        <v>937</v>
      </c>
      <c r="G26" s="193"/>
      <c r="H26" s="192" t="s">
        <v>938</v>
      </c>
      <c r="I26" s="192" t="s">
        <v>939</v>
      </c>
      <c r="J26" s="192" t="s">
        <v>940</v>
      </c>
      <c r="K26" s="192" t="s">
        <v>892</v>
      </c>
    </row>
    <row r="27">
      <c r="A27" s="227" t="s">
        <v>941</v>
      </c>
      <c r="B27" s="231" t="s">
        <v>942</v>
      </c>
      <c r="C27" s="192" t="s">
        <v>943</v>
      </c>
      <c r="D27" s="192" t="s">
        <v>33</v>
      </c>
      <c r="E27" s="226">
        <v>1.0</v>
      </c>
      <c r="F27" s="192" t="s">
        <v>937</v>
      </c>
      <c r="G27" s="193"/>
      <c r="H27" s="192" t="s">
        <v>905</v>
      </c>
      <c r="I27" s="192" t="s">
        <v>944</v>
      </c>
      <c r="J27" s="192" t="s">
        <v>945</v>
      </c>
      <c r="K27" s="192" t="s">
        <v>946</v>
      </c>
    </row>
    <row r="28">
      <c r="A28" s="227" t="s">
        <v>176</v>
      </c>
      <c r="B28" s="225" t="s">
        <v>947</v>
      </c>
      <c r="C28" s="192" t="s">
        <v>948</v>
      </c>
      <c r="D28" s="192" t="s">
        <v>33</v>
      </c>
      <c r="E28" s="226">
        <v>1.0</v>
      </c>
      <c r="F28" s="192" t="s">
        <v>937</v>
      </c>
      <c r="G28" s="193"/>
      <c r="H28" s="192" t="s">
        <v>905</v>
      </c>
      <c r="I28" s="192" t="s">
        <v>949</v>
      </c>
      <c r="J28" s="192" t="s">
        <v>950</v>
      </c>
      <c r="K28" s="192" t="s">
        <v>951</v>
      </c>
    </row>
    <row r="29">
      <c r="A29" s="227" t="s">
        <v>182</v>
      </c>
      <c r="B29" s="225" t="s">
        <v>952</v>
      </c>
      <c r="C29" s="192" t="s">
        <v>953</v>
      </c>
      <c r="D29" s="192" t="s">
        <v>33</v>
      </c>
      <c r="E29" s="226">
        <v>1.0</v>
      </c>
      <c r="F29" s="192" t="s">
        <v>927</v>
      </c>
      <c r="G29" s="193"/>
      <c r="H29" s="192" t="s">
        <v>905</v>
      </c>
      <c r="I29" s="192" t="s">
        <v>954</v>
      </c>
      <c r="J29" s="192" t="s">
        <v>955</v>
      </c>
      <c r="K29" s="192" t="s">
        <v>956</v>
      </c>
    </row>
    <row r="30">
      <c r="A30" s="227" t="s">
        <v>193</v>
      </c>
      <c r="B30" s="225" t="s">
        <v>957</v>
      </c>
      <c r="C30" s="192" t="s">
        <v>958</v>
      </c>
      <c r="D30" s="192" t="s">
        <v>33</v>
      </c>
      <c r="E30" s="226">
        <v>1.0</v>
      </c>
      <c r="F30" s="192" t="s">
        <v>937</v>
      </c>
      <c r="G30" s="193"/>
      <c r="H30" s="192" t="s">
        <v>905</v>
      </c>
      <c r="I30" s="192" t="s">
        <v>959</v>
      </c>
      <c r="J30" s="192" t="s">
        <v>960</v>
      </c>
      <c r="K30" s="192" t="s">
        <v>961</v>
      </c>
    </row>
    <row r="31">
      <c r="A31" s="227" t="s">
        <v>187</v>
      </c>
      <c r="B31" s="232" t="s">
        <v>191</v>
      </c>
      <c r="C31" s="192" t="s">
        <v>962</v>
      </c>
      <c r="D31" s="192" t="s">
        <v>33</v>
      </c>
      <c r="E31" s="226">
        <v>1.0</v>
      </c>
      <c r="F31" s="192" t="s">
        <v>937</v>
      </c>
      <c r="G31" s="193"/>
      <c r="H31" s="193"/>
      <c r="I31" s="193"/>
      <c r="J31" s="193"/>
      <c r="K31" s="192" t="s">
        <v>882</v>
      </c>
    </row>
    <row r="32">
      <c r="A32" s="227" t="s">
        <v>198</v>
      </c>
      <c r="B32" s="225" t="s">
        <v>963</v>
      </c>
      <c r="C32" s="192" t="s">
        <v>964</v>
      </c>
      <c r="D32" s="192" t="s">
        <v>33</v>
      </c>
      <c r="E32" s="226">
        <v>1.0</v>
      </c>
      <c r="F32" s="192" t="s">
        <v>937</v>
      </c>
      <c r="G32" s="193"/>
      <c r="H32" s="192" t="s">
        <v>965</v>
      </c>
      <c r="I32" s="192" t="s">
        <v>966</v>
      </c>
      <c r="J32" s="192" t="s">
        <v>967</v>
      </c>
      <c r="K32" s="192" t="s">
        <v>968</v>
      </c>
    </row>
    <row r="33">
      <c r="A33" s="227" t="s">
        <v>825</v>
      </c>
      <c r="B33" s="231" t="s">
        <v>969</v>
      </c>
      <c r="C33" s="192" t="s">
        <v>970</v>
      </c>
      <c r="D33" s="192" t="s">
        <v>33</v>
      </c>
      <c r="E33" s="226">
        <v>1.0</v>
      </c>
      <c r="F33" s="192" t="s">
        <v>937</v>
      </c>
      <c r="G33" s="193"/>
      <c r="H33" s="192" t="s">
        <v>905</v>
      </c>
      <c r="I33" s="192" t="s">
        <v>971</v>
      </c>
      <c r="J33" s="192" t="s">
        <v>972</v>
      </c>
      <c r="K33" s="192" t="s">
        <v>973</v>
      </c>
    </row>
    <row r="34">
      <c r="A34" s="229" t="s">
        <v>214</v>
      </c>
      <c r="B34" s="225" t="s">
        <v>974</v>
      </c>
      <c r="C34" s="192" t="s">
        <v>975</v>
      </c>
      <c r="D34" s="192" t="s">
        <v>52</v>
      </c>
      <c r="E34" s="226">
        <v>1.0</v>
      </c>
      <c r="F34" s="192" t="s">
        <v>937</v>
      </c>
      <c r="G34" s="193"/>
      <c r="H34" s="192" t="s">
        <v>976</v>
      </c>
      <c r="I34" s="192" t="s">
        <v>977</v>
      </c>
      <c r="J34" s="192" t="s">
        <v>978</v>
      </c>
      <c r="K34" s="192" t="s">
        <v>979</v>
      </c>
    </row>
    <row r="35">
      <c r="A35" s="229" t="s">
        <v>826</v>
      </c>
      <c r="B35" s="232" t="s">
        <v>212</v>
      </c>
      <c r="C35" s="192" t="s">
        <v>980</v>
      </c>
      <c r="D35" s="192" t="s">
        <v>52</v>
      </c>
      <c r="E35" s="226">
        <v>1.0</v>
      </c>
      <c r="F35" s="192" t="s">
        <v>937</v>
      </c>
      <c r="G35" s="193"/>
      <c r="H35" s="193"/>
      <c r="I35" s="193"/>
      <c r="J35" s="193"/>
      <c r="K35" s="192" t="s">
        <v>882</v>
      </c>
    </row>
    <row r="36">
      <c r="A36" s="229" t="s">
        <v>377</v>
      </c>
      <c r="B36" s="225" t="s">
        <v>981</v>
      </c>
      <c r="C36" s="192" t="s">
        <v>982</v>
      </c>
      <c r="D36" s="192" t="s">
        <v>52</v>
      </c>
      <c r="E36" s="226">
        <v>1.0</v>
      </c>
      <c r="F36" s="192" t="s">
        <v>937</v>
      </c>
      <c r="G36" s="193"/>
      <c r="H36" s="192" t="s">
        <v>905</v>
      </c>
      <c r="I36" s="192" t="s">
        <v>983</v>
      </c>
      <c r="J36" s="192" t="s">
        <v>984</v>
      </c>
      <c r="K36" s="192" t="s">
        <v>956</v>
      </c>
    </row>
    <row r="37">
      <c r="A37" s="229" t="s">
        <v>382</v>
      </c>
      <c r="B37" s="225" t="s">
        <v>985</v>
      </c>
      <c r="C37" s="192" t="s">
        <v>986</v>
      </c>
      <c r="D37" s="192" t="s">
        <v>52</v>
      </c>
      <c r="E37" s="226">
        <v>1.0</v>
      </c>
      <c r="F37" s="192" t="s">
        <v>937</v>
      </c>
      <c r="G37" s="193"/>
      <c r="H37" s="192" t="s">
        <v>905</v>
      </c>
      <c r="I37" s="193"/>
      <c r="J37" s="193"/>
      <c r="K37" s="192" t="s">
        <v>987</v>
      </c>
    </row>
    <row r="38">
      <c r="A38" s="218" t="s">
        <v>645</v>
      </c>
      <c r="B38" s="223" t="s">
        <v>988</v>
      </c>
      <c r="C38" s="218" t="s">
        <v>989</v>
      </c>
      <c r="D38" s="193"/>
      <c r="E38" s="220">
        <v>1.0</v>
      </c>
      <c r="F38" s="192" t="s">
        <v>990</v>
      </c>
      <c r="G38" s="193"/>
      <c r="H38" s="218" t="s">
        <v>905</v>
      </c>
      <c r="I38" s="218" t="s">
        <v>991</v>
      </c>
      <c r="J38" s="218" t="s">
        <v>992</v>
      </c>
      <c r="K38" s="218" t="s">
        <v>987</v>
      </c>
    </row>
    <row r="39">
      <c r="A39" s="233" t="s">
        <v>387</v>
      </c>
      <c r="B39" s="225" t="s">
        <v>993</v>
      </c>
      <c r="C39" s="192" t="s">
        <v>994</v>
      </c>
      <c r="D39" s="193"/>
      <c r="E39" s="226">
        <v>1.0</v>
      </c>
      <c r="F39" s="192" t="s">
        <v>937</v>
      </c>
      <c r="G39" s="193"/>
      <c r="H39" s="192" t="s">
        <v>909</v>
      </c>
      <c r="I39" s="192" t="s">
        <v>995</v>
      </c>
      <c r="J39" s="192" t="s">
        <v>996</v>
      </c>
      <c r="K39" s="192" t="s">
        <v>882</v>
      </c>
    </row>
    <row r="40">
      <c r="A40" s="227" t="s">
        <v>219</v>
      </c>
      <c r="B40" s="225" t="s">
        <v>997</v>
      </c>
      <c r="C40" s="192" t="s">
        <v>998</v>
      </c>
      <c r="D40" s="192" t="s">
        <v>52</v>
      </c>
      <c r="E40" s="226">
        <v>1.0</v>
      </c>
      <c r="F40" s="192" t="s">
        <v>937</v>
      </c>
      <c r="G40" s="193"/>
      <c r="H40" s="192" t="s">
        <v>905</v>
      </c>
      <c r="I40" s="192" t="s">
        <v>999</v>
      </c>
      <c r="J40" s="192" t="s">
        <v>1000</v>
      </c>
      <c r="K40" s="192" t="s">
        <v>860</v>
      </c>
    </row>
    <row r="41">
      <c r="A41" s="229" t="s">
        <v>372</v>
      </c>
      <c r="B41" s="225" t="s">
        <v>1001</v>
      </c>
      <c r="C41" s="192" t="s">
        <v>1002</v>
      </c>
      <c r="D41" s="192" t="s">
        <v>52</v>
      </c>
      <c r="E41" s="226">
        <v>1.0</v>
      </c>
      <c r="F41" s="192" t="s">
        <v>937</v>
      </c>
      <c r="G41" s="193"/>
      <c r="H41" s="193"/>
      <c r="I41" s="193"/>
      <c r="J41" s="193"/>
      <c r="K41" s="192" t="s">
        <v>1003</v>
      </c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</row>
    <row r="43">
      <c r="A43" s="189" t="s">
        <v>1004</v>
      </c>
      <c r="B43" s="189" t="s">
        <v>850</v>
      </c>
      <c r="C43" s="189" t="s">
        <v>851</v>
      </c>
      <c r="D43" s="193"/>
      <c r="E43" s="217" t="s">
        <v>10</v>
      </c>
      <c r="F43" s="189" t="s">
        <v>853</v>
      </c>
      <c r="G43" s="193"/>
      <c r="H43" s="193"/>
      <c r="I43" s="193"/>
      <c r="J43" s="193"/>
      <c r="K43" s="193"/>
    </row>
    <row r="44">
      <c r="A44" s="192" t="s">
        <v>330</v>
      </c>
      <c r="B44" s="225" t="s">
        <v>1005</v>
      </c>
      <c r="C44" s="234">
        <v>1.6472980916E10</v>
      </c>
      <c r="D44" s="192" t="s">
        <v>33</v>
      </c>
      <c r="E44" s="226">
        <v>1.0</v>
      </c>
      <c r="F44" s="192" t="s">
        <v>927</v>
      </c>
      <c r="G44" s="192" t="s">
        <v>1006</v>
      </c>
      <c r="H44" s="192" t="s">
        <v>1007</v>
      </c>
      <c r="I44" s="192" t="s">
        <v>1008</v>
      </c>
      <c r="J44" s="192" t="s">
        <v>1009</v>
      </c>
      <c r="K44" s="192" t="s">
        <v>1010</v>
      </c>
    </row>
    <row r="45">
      <c r="A45" s="227" t="s">
        <v>102</v>
      </c>
      <c r="B45" s="225" t="s">
        <v>1011</v>
      </c>
      <c r="C45" s="234">
        <v>1.5193172989E10</v>
      </c>
      <c r="D45" s="192" t="s">
        <v>33</v>
      </c>
      <c r="E45" s="226">
        <v>1.0</v>
      </c>
      <c r="F45" s="192" t="s">
        <v>923</v>
      </c>
      <c r="G45" s="192" t="s">
        <v>1012</v>
      </c>
      <c r="H45" s="192" t="s">
        <v>905</v>
      </c>
      <c r="I45" s="192" t="s">
        <v>1013</v>
      </c>
      <c r="J45" s="192" t="s">
        <v>1014</v>
      </c>
      <c r="K45" s="192" t="s">
        <v>1015</v>
      </c>
    </row>
    <row r="46">
      <c r="A46" s="227" t="s">
        <v>740</v>
      </c>
      <c r="B46" s="225" t="s">
        <v>1016</v>
      </c>
      <c r="C46" s="234">
        <v>1.4164609642E10</v>
      </c>
      <c r="D46" s="192" t="s">
        <v>33</v>
      </c>
      <c r="E46" s="226">
        <v>1.0</v>
      </c>
      <c r="F46" s="192" t="s">
        <v>923</v>
      </c>
      <c r="G46" s="192" t="s">
        <v>1006</v>
      </c>
      <c r="H46" s="192" t="s">
        <v>1017</v>
      </c>
      <c r="I46" s="192" t="s">
        <v>1018</v>
      </c>
      <c r="J46" s="192" t="s">
        <v>1019</v>
      </c>
      <c r="K46" s="192" t="s">
        <v>892</v>
      </c>
    </row>
    <row r="47">
      <c r="A47" s="227" t="s">
        <v>631</v>
      </c>
      <c r="B47" s="225" t="s">
        <v>1020</v>
      </c>
      <c r="C47" s="234">
        <v>1.2892314562E10</v>
      </c>
      <c r="D47" s="193"/>
      <c r="E47" s="226">
        <v>1.0</v>
      </c>
      <c r="F47" s="192" t="s">
        <v>923</v>
      </c>
      <c r="G47" s="192" t="s">
        <v>1012</v>
      </c>
      <c r="H47" s="193"/>
      <c r="I47" s="193"/>
      <c r="J47" s="193"/>
      <c r="K47" s="192" t="s">
        <v>1021</v>
      </c>
    </row>
    <row r="48">
      <c r="A48" s="227" t="s">
        <v>92</v>
      </c>
      <c r="B48" s="225" t="s">
        <v>1022</v>
      </c>
      <c r="C48" s="234">
        <v>1.5199490501E10</v>
      </c>
      <c r="D48" s="192" t="s">
        <v>33</v>
      </c>
      <c r="E48" s="226">
        <v>1.0</v>
      </c>
      <c r="F48" s="192" t="s">
        <v>1023</v>
      </c>
      <c r="G48" s="193"/>
      <c r="H48" s="193"/>
      <c r="I48" s="192" t="s">
        <v>1024</v>
      </c>
      <c r="J48" s="192" t="s">
        <v>1025</v>
      </c>
      <c r="K48" s="192" t="s">
        <v>874</v>
      </c>
    </row>
    <row r="49">
      <c r="A49" s="229" t="s">
        <v>833</v>
      </c>
      <c r="B49" s="225" t="s">
        <v>1026</v>
      </c>
      <c r="C49" s="234">
        <v>1.647272823E10</v>
      </c>
      <c r="D49" s="192" t="s">
        <v>52</v>
      </c>
      <c r="E49" s="226">
        <v>1.0</v>
      </c>
      <c r="F49" s="192" t="s">
        <v>1027</v>
      </c>
      <c r="G49" s="192" t="s">
        <v>1028</v>
      </c>
      <c r="H49" s="192" t="s">
        <v>1029</v>
      </c>
      <c r="I49" s="193"/>
      <c r="J49" s="193"/>
      <c r="K49" s="192" t="s">
        <v>892</v>
      </c>
    </row>
    <row r="50">
      <c r="A50" s="227" t="s">
        <v>40</v>
      </c>
      <c r="B50" s="231" t="s">
        <v>1030</v>
      </c>
      <c r="C50" s="234">
        <v>1.5196301553E10</v>
      </c>
      <c r="D50" s="192" t="s">
        <v>33</v>
      </c>
      <c r="E50" s="226">
        <v>1.0</v>
      </c>
      <c r="F50" s="192" t="s">
        <v>1023</v>
      </c>
      <c r="G50" s="192" t="s">
        <v>1028</v>
      </c>
      <c r="H50" s="192" t="s">
        <v>1031</v>
      </c>
      <c r="I50" s="192" t="s">
        <v>1032</v>
      </c>
      <c r="J50" s="192" t="s">
        <v>1033</v>
      </c>
      <c r="K50" s="192" t="s">
        <v>874</v>
      </c>
    </row>
    <row r="51">
      <c r="A51" s="235" t="s">
        <v>345</v>
      </c>
      <c r="B51" s="225" t="s">
        <v>1034</v>
      </c>
      <c r="C51" s="193"/>
      <c r="D51" s="193"/>
      <c r="E51" s="226">
        <v>1.0</v>
      </c>
      <c r="F51" s="192" t="s">
        <v>1023</v>
      </c>
      <c r="G51" s="192" t="s">
        <v>1028</v>
      </c>
      <c r="H51" s="192" t="s">
        <v>1035</v>
      </c>
      <c r="I51" s="192" t="s">
        <v>1036</v>
      </c>
      <c r="J51" s="193"/>
      <c r="K51" s="192" t="s">
        <v>860</v>
      </c>
    </row>
    <row r="52">
      <c r="A52" s="227" t="s">
        <v>24</v>
      </c>
      <c r="B52" s="225" t="s">
        <v>1037</v>
      </c>
      <c r="C52" s="192" t="s">
        <v>35</v>
      </c>
      <c r="D52" s="192" t="s">
        <v>33</v>
      </c>
      <c r="E52" s="226">
        <v>1.0</v>
      </c>
      <c r="F52" s="192" t="s">
        <v>1023</v>
      </c>
      <c r="G52" s="192" t="s">
        <v>1028</v>
      </c>
      <c r="H52" s="192" t="s">
        <v>905</v>
      </c>
      <c r="I52" s="192" t="s">
        <v>1038</v>
      </c>
      <c r="J52" s="192" t="s">
        <v>1039</v>
      </c>
      <c r="K52" s="192" t="s">
        <v>946</v>
      </c>
    </row>
    <row r="53">
      <c r="A53" s="229" t="s">
        <v>50</v>
      </c>
      <c r="B53" s="232" t="s">
        <v>1040</v>
      </c>
      <c r="C53" s="192" t="s">
        <v>54</v>
      </c>
      <c r="D53" s="192" t="s">
        <v>52</v>
      </c>
      <c r="E53" s="226">
        <v>1.0</v>
      </c>
      <c r="F53" s="192" t="s">
        <v>1023</v>
      </c>
      <c r="G53" s="193"/>
      <c r="H53" s="192" t="s">
        <v>1041</v>
      </c>
      <c r="I53" s="192" t="s">
        <v>1042</v>
      </c>
      <c r="J53" s="192" t="s">
        <v>1043</v>
      </c>
      <c r="K53" s="192" t="s">
        <v>860</v>
      </c>
    </row>
    <row r="54">
      <c r="A54" s="192" t="s">
        <v>69</v>
      </c>
      <c r="B54" s="225" t="s">
        <v>1044</v>
      </c>
      <c r="C54" s="193"/>
      <c r="D54" s="193"/>
      <c r="E54" s="226">
        <v>1.0</v>
      </c>
      <c r="F54" s="192" t="s">
        <v>1023</v>
      </c>
      <c r="G54" s="192" t="s">
        <v>1028</v>
      </c>
      <c r="H54" s="192" t="s">
        <v>1045</v>
      </c>
      <c r="I54" s="193"/>
      <c r="J54" s="193"/>
      <c r="K54" s="192" t="s">
        <v>860</v>
      </c>
    </row>
    <row r="55">
      <c r="A55" s="227" t="s">
        <v>67</v>
      </c>
      <c r="B55" s="225" t="s">
        <v>66</v>
      </c>
      <c r="C55" s="192" t="s">
        <v>65</v>
      </c>
      <c r="D55" s="193"/>
      <c r="E55" s="226">
        <v>1.0</v>
      </c>
      <c r="F55" s="192" t="s">
        <v>1023</v>
      </c>
      <c r="G55" s="192" t="s">
        <v>1028</v>
      </c>
      <c r="H55" s="192" t="s">
        <v>905</v>
      </c>
      <c r="I55" s="192" t="s">
        <v>1046</v>
      </c>
      <c r="J55" s="192" t="s">
        <v>1047</v>
      </c>
      <c r="K55" s="192" t="s">
        <v>882</v>
      </c>
    </row>
    <row r="56">
      <c r="A56" s="218" t="s">
        <v>1048</v>
      </c>
      <c r="B56" s="223" t="s">
        <v>1049</v>
      </c>
      <c r="C56" s="218" t="s">
        <v>1050</v>
      </c>
      <c r="D56" s="193"/>
      <c r="E56" s="220">
        <v>1.0</v>
      </c>
      <c r="F56" s="218" t="s">
        <v>1023</v>
      </c>
      <c r="G56" s="193"/>
      <c r="H56" s="218" t="s">
        <v>1041</v>
      </c>
      <c r="I56" s="218" t="s">
        <v>1051</v>
      </c>
      <c r="J56" s="218" t="s">
        <v>1052</v>
      </c>
      <c r="K56" s="218" t="s">
        <v>892</v>
      </c>
    </row>
    <row r="57">
      <c r="A57" s="192" t="s">
        <v>834</v>
      </c>
      <c r="B57" s="193"/>
      <c r="C57" s="192" t="s">
        <v>1050</v>
      </c>
      <c r="D57" s="193"/>
      <c r="E57" s="226">
        <v>1.0</v>
      </c>
      <c r="F57" s="192" t="s">
        <v>1053</v>
      </c>
      <c r="G57" s="192" t="s">
        <v>1028</v>
      </c>
      <c r="H57" s="192" t="s">
        <v>1054</v>
      </c>
      <c r="I57" s="193"/>
      <c r="J57" s="193"/>
      <c r="K57" s="192" t="s">
        <v>987</v>
      </c>
    </row>
    <row r="58">
      <c r="A58" s="227" t="s">
        <v>1055</v>
      </c>
      <c r="B58" s="225" t="s">
        <v>90</v>
      </c>
      <c r="C58" s="192" t="s">
        <v>89</v>
      </c>
      <c r="D58" s="193"/>
      <c r="E58" s="226">
        <v>1.0</v>
      </c>
      <c r="F58" s="192" t="s">
        <v>1023</v>
      </c>
      <c r="G58" s="193"/>
      <c r="H58" s="192" t="s">
        <v>1029</v>
      </c>
      <c r="I58" s="193"/>
      <c r="J58" s="193"/>
      <c r="K58" s="192" t="s">
        <v>877</v>
      </c>
    </row>
    <row r="59">
      <c r="A59" s="227" t="s">
        <v>352</v>
      </c>
      <c r="B59" s="225" t="s">
        <v>1056</v>
      </c>
      <c r="C59" s="234">
        <v>6.472715618E9</v>
      </c>
      <c r="D59" s="192" t="s">
        <v>33</v>
      </c>
      <c r="E59" s="226">
        <v>1.0</v>
      </c>
      <c r="F59" s="192" t="s">
        <v>1023</v>
      </c>
      <c r="G59" s="192" t="s">
        <v>1028</v>
      </c>
      <c r="H59" s="192" t="s">
        <v>1054</v>
      </c>
      <c r="I59" s="230" t="s">
        <v>1057</v>
      </c>
      <c r="J59" s="192" t="s">
        <v>1058</v>
      </c>
      <c r="K59" s="230" t="s">
        <v>1059</v>
      </c>
    </row>
    <row r="60">
      <c r="A60" s="227" t="s">
        <v>783</v>
      </c>
      <c r="B60" s="225" t="s">
        <v>1060</v>
      </c>
      <c r="C60" s="193"/>
      <c r="D60" s="192" t="s">
        <v>33</v>
      </c>
      <c r="E60" s="226">
        <v>1.0</v>
      </c>
      <c r="F60" s="192" t="s">
        <v>1023</v>
      </c>
      <c r="G60" s="192" t="s">
        <v>1006</v>
      </c>
      <c r="H60" s="192" t="s">
        <v>905</v>
      </c>
      <c r="I60" s="192" t="s">
        <v>1061</v>
      </c>
      <c r="J60" s="192" t="s">
        <v>1062</v>
      </c>
      <c r="K60" s="192" t="s">
        <v>946</v>
      </c>
    </row>
    <row r="61">
      <c r="A61" s="229" t="s">
        <v>836</v>
      </c>
      <c r="B61" s="225" t="s">
        <v>1063</v>
      </c>
      <c r="C61" s="192" t="s">
        <v>1064</v>
      </c>
      <c r="D61" s="192" t="s">
        <v>52</v>
      </c>
      <c r="E61" s="226">
        <v>1.0</v>
      </c>
      <c r="F61" s="192" t="s">
        <v>923</v>
      </c>
      <c r="G61" s="192" t="s">
        <v>1006</v>
      </c>
      <c r="H61" s="192" t="s">
        <v>1041</v>
      </c>
      <c r="I61" s="193"/>
      <c r="J61" s="193"/>
      <c r="K61" s="192" t="s">
        <v>892</v>
      </c>
    </row>
    <row r="62">
      <c r="A62" s="192" t="s">
        <v>394</v>
      </c>
      <c r="B62" s="225" t="s">
        <v>1065</v>
      </c>
      <c r="C62" s="192" t="s">
        <v>1066</v>
      </c>
      <c r="D62" s="193"/>
      <c r="E62" s="226">
        <v>1.0</v>
      </c>
      <c r="F62" s="193"/>
      <c r="G62" s="192" t="s">
        <v>1006</v>
      </c>
      <c r="H62" s="192" t="s">
        <v>905</v>
      </c>
      <c r="I62" s="193"/>
      <c r="J62" s="193"/>
      <c r="K62" s="192" t="s">
        <v>1067</v>
      </c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</row>
    <row r="64">
      <c r="A64" s="189" t="s">
        <v>1068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</row>
    <row r="65">
      <c r="A65" s="189" t="s">
        <v>802</v>
      </c>
      <c r="B65" s="189" t="s">
        <v>850</v>
      </c>
      <c r="C65" s="189" t="s">
        <v>851</v>
      </c>
      <c r="D65" s="193"/>
      <c r="E65" s="217" t="s">
        <v>10</v>
      </c>
      <c r="F65" s="189" t="s">
        <v>853</v>
      </c>
      <c r="G65" s="193"/>
      <c r="H65" s="193"/>
      <c r="I65" s="193"/>
      <c r="J65" s="193"/>
      <c r="K65" s="193"/>
    </row>
    <row r="66">
      <c r="A66" s="227" t="s">
        <v>230</v>
      </c>
      <c r="B66" s="225" t="s">
        <v>234</v>
      </c>
      <c r="C66" s="192" t="s">
        <v>1069</v>
      </c>
      <c r="D66" s="192" t="s">
        <v>52</v>
      </c>
      <c r="E66" s="226">
        <v>1.0</v>
      </c>
      <c r="F66" s="192" t="s">
        <v>1070</v>
      </c>
      <c r="G66" s="193"/>
      <c r="H66" s="192" t="s">
        <v>965</v>
      </c>
      <c r="I66" s="192" t="s">
        <v>1071</v>
      </c>
      <c r="J66" s="192" t="s">
        <v>1072</v>
      </c>
      <c r="K66" s="192" t="s">
        <v>882</v>
      </c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</row>
    <row r="68">
      <c r="A68" s="189" t="s">
        <v>1073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</row>
    <row r="69">
      <c r="A69" s="224" t="s">
        <v>255</v>
      </c>
      <c r="B69" s="236" t="s">
        <v>1074</v>
      </c>
      <c r="C69" s="192" t="s">
        <v>1075</v>
      </c>
      <c r="D69" s="192" t="s">
        <v>52</v>
      </c>
      <c r="E69" s="226">
        <v>1.0</v>
      </c>
      <c r="F69" s="192" t="s">
        <v>1076</v>
      </c>
      <c r="G69" s="193"/>
      <c r="H69" s="192" t="s">
        <v>1077</v>
      </c>
      <c r="I69" s="193"/>
      <c r="J69" s="193"/>
      <c r="K69" s="192" t="s">
        <v>1078</v>
      </c>
    </row>
    <row r="70">
      <c r="A70" s="227" t="s">
        <v>235</v>
      </c>
      <c r="B70" s="225" t="s">
        <v>239</v>
      </c>
      <c r="C70" s="192" t="s">
        <v>238</v>
      </c>
      <c r="D70" s="192" t="s">
        <v>52</v>
      </c>
      <c r="E70" s="226">
        <v>1.0</v>
      </c>
      <c r="F70" s="192" t="s">
        <v>937</v>
      </c>
      <c r="G70" s="193"/>
      <c r="H70" s="192" t="s">
        <v>965</v>
      </c>
      <c r="I70" s="192" t="s">
        <v>1079</v>
      </c>
      <c r="J70" s="192" t="s">
        <v>1080</v>
      </c>
      <c r="K70" s="192" t="s">
        <v>877</v>
      </c>
    </row>
    <row r="71">
      <c r="A71" s="227" t="s">
        <v>1081</v>
      </c>
      <c r="B71" s="231" t="s">
        <v>1082</v>
      </c>
      <c r="C71" s="192" t="s">
        <v>1083</v>
      </c>
      <c r="D71" s="192" t="s">
        <v>52</v>
      </c>
      <c r="E71" s="226">
        <v>1.0</v>
      </c>
      <c r="F71" s="192" t="s">
        <v>937</v>
      </c>
      <c r="G71" s="193"/>
      <c r="H71" s="192" t="s">
        <v>905</v>
      </c>
      <c r="I71" s="192" t="s">
        <v>1084</v>
      </c>
      <c r="J71" s="192" t="s">
        <v>1085</v>
      </c>
      <c r="K71" s="192" t="s">
        <v>1086</v>
      </c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</row>
    <row r="73">
      <c r="A73" s="189" t="s">
        <v>1087</v>
      </c>
      <c r="B73" s="193"/>
      <c r="C73" s="193"/>
      <c r="D73" s="193"/>
      <c r="E73" s="193"/>
      <c r="F73" s="193"/>
      <c r="G73" s="193"/>
      <c r="H73" s="193"/>
      <c r="I73" s="193"/>
      <c r="J73" s="193"/>
      <c r="K73" s="193"/>
    </row>
    <row r="74">
      <c r="A74" s="224" t="s">
        <v>840</v>
      </c>
      <c r="B74" s="225" t="s">
        <v>228</v>
      </c>
      <c r="C74" s="237" t="s">
        <v>1088</v>
      </c>
      <c r="D74" s="193"/>
      <c r="E74" s="226">
        <v>1.0</v>
      </c>
      <c r="F74" s="192" t="s">
        <v>1089</v>
      </c>
      <c r="G74" s="193"/>
      <c r="H74" s="193"/>
      <c r="I74" s="192" t="s">
        <v>892</v>
      </c>
      <c r="J74" s="193"/>
      <c r="K74" s="192" t="s">
        <v>892</v>
      </c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</row>
    <row r="76">
      <c r="A76" s="189" t="s">
        <v>1090</v>
      </c>
      <c r="B76" s="193"/>
      <c r="C76" s="193"/>
      <c r="D76" s="193"/>
      <c r="E76" s="193"/>
      <c r="F76" s="193"/>
      <c r="G76" s="193"/>
      <c r="H76" s="193"/>
      <c r="I76" s="193"/>
      <c r="J76" s="193"/>
      <c r="K76" s="193"/>
    </row>
    <row r="77">
      <c r="A77" s="229" t="s">
        <v>275</v>
      </c>
      <c r="B77" s="225" t="s">
        <v>1091</v>
      </c>
      <c r="C77" s="193"/>
      <c r="D77" s="192" t="s">
        <v>52</v>
      </c>
      <c r="E77" s="226">
        <v>1.0</v>
      </c>
      <c r="F77" s="192" t="s">
        <v>937</v>
      </c>
      <c r="G77" s="192" t="s">
        <v>1092</v>
      </c>
      <c r="H77" s="192" t="s">
        <v>965</v>
      </c>
      <c r="I77" s="192" t="s">
        <v>1093</v>
      </c>
      <c r="J77" s="192" t="s">
        <v>1094</v>
      </c>
      <c r="K77" s="192" t="s">
        <v>1095</v>
      </c>
    </row>
    <row r="78">
      <c r="A78" s="227" t="s">
        <v>280</v>
      </c>
      <c r="B78" s="231" t="s">
        <v>1096</v>
      </c>
      <c r="C78" s="237" t="s">
        <v>1097</v>
      </c>
      <c r="D78" s="237" t="s">
        <v>33</v>
      </c>
      <c r="E78" s="226">
        <v>1.0</v>
      </c>
      <c r="F78" s="192" t="s">
        <v>937</v>
      </c>
      <c r="G78" s="192" t="s">
        <v>1098</v>
      </c>
      <c r="H78" s="192" t="s">
        <v>905</v>
      </c>
      <c r="I78" s="192" t="s">
        <v>1099</v>
      </c>
      <c r="J78" s="192" t="s">
        <v>1100</v>
      </c>
      <c r="K78" s="192" t="s">
        <v>1101</v>
      </c>
    </row>
    <row r="79">
      <c r="A79" s="224" t="s">
        <v>412</v>
      </c>
      <c r="B79" s="225" t="s">
        <v>1102</v>
      </c>
      <c r="C79" s="237" t="s">
        <v>415</v>
      </c>
      <c r="D79" s="237" t="s">
        <v>52</v>
      </c>
      <c r="E79" s="226">
        <v>1.0</v>
      </c>
      <c r="F79" s="192" t="s">
        <v>937</v>
      </c>
      <c r="G79" s="192" t="s">
        <v>1103</v>
      </c>
      <c r="H79" s="192" t="s">
        <v>905</v>
      </c>
      <c r="I79" s="192" t="s">
        <v>1104</v>
      </c>
      <c r="J79" s="192" t="s">
        <v>1105</v>
      </c>
      <c r="K79" s="192" t="s">
        <v>882</v>
      </c>
    </row>
    <row r="80">
      <c r="A80" s="224" t="s">
        <v>403</v>
      </c>
      <c r="B80" s="225" t="s">
        <v>1106</v>
      </c>
      <c r="C80" s="237" t="s">
        <v>406</v>
      </c>
      <c r="D80" s="237" t="s">
        <v>52</v>
      </c>
      <c r="E80" s="226">
        <v>1.0</v>
      </c>
      <c r="F80" s="192" t="s">
        <v>937</v>
      </c>
      <c r="G80" s="192" t="s">
        <v>1098</v>
      </c>
      <c r="H80" s="192" t="s">
        <v>965</v>
      </c>
      <c r="I80" s="192" t="s">
        <v>1107</v>
      </c>
      <c r="J80" s="192" t="s">
        <v>1108</v>
      </c>
      <c r="K80" s="192" t="s">
        <v>860</v>
      </c>
    </row>
    <row r="81">
      <c r="A81" s="192" t="s">
        <v>417</v>
      </c>
      <c r="B81" s="225" t="s">
        <v>1109</v>
      </c>
      <c r="C81" s="237" t="s">
        <v>1110</v>
      </c>
      <c r="D81" s="193"/>
      <c r="E81" s="226">
        <v>1.0</v>
      </c>
      <c r="F81" s="192" t="s">
        <v>937</v>
      </c>
      <c r="G81" s="192" t="s">
        <v>1111</v>
      </c>
      <c r="H81" s="192" t="s">
        <v>905</v>
      </c>
      <c r="I81" s="192" t="s">
        <v>1112</v>
      </c>
      <c r="J81" s="192" t="s">
        <v>1113</v>
      </c>
      <c r="K81" s="192" t="s">
        <v>1114</v>
      </c>
    </row>
    <row r="82">
      <c r="A82" s="192" t="s">
        <v>423</v>
      </c>
      <c r="B82" s="225" t="s">
        <v>1115</v>
      </c>
      <c r="C82" s="237" t="s">
        <v>1116</v>
      </c>
      <c r="D82" s="237" t="s">
        <v>52</v>
      </c>
      <c r="E82" s="226">
        <v>1.0</v>
      </c>
      <c r="F82" s="192" t="s">
        <v>937</v>
      </c>
      <c r="G82" s="192" t="s">
        <v>1117</v>
      </c>
      <c r="H82" s="192" t="s">
        <v>905</v>
      </c>
      <c r="I82" s="192" t="s">
        <v>1118</v>
      </c>
      <c r="J82" s="192" t="s">
        <v>1119</v>
      </c>
      <c r="K82" s="192" t="s">
        <v>1120</v>
      </c>
    </row>
    <row r="83">
      <c r="A83" s="224" t="s">
        <v>428</v>
      </c>
      <c r="B83" s="225" t="s">
        <v>1121</v>
      </c>
      <c r="C83" s="237" t="s">
        <v>1122</v>
      </c>
      <c r="D83" s="237" t="s">
        <v>33</v>
      </c>
      <c r="E83" s="226">
        <v>1.0</v>
      </c>
      <c r="F83" s="192" t="s">
        <v>937</v>
      </c>
      <c r="G83" s="192" t="s">
        <v>1098</v>
      </c>
      <c r="H83" s="192" t="s">
        <v>905</v>
      </c>
      <c r="I83" s="192" t="s">
        <v>1123</v>
      </c>
      <c r="J83" s="193"/>
      <c r="K83" s="192" t="s">
        <v>1124</v>
      </c>
    </row>
    <row r="84">
      <c r="A84" s="224" t="s">
        <v>591</v>
      </c>
      <c r="B84" s="225" t="s">
        <v>1125</v>
      </c>
      <c r="C84" s="193"/>
      <c r="D84" s="192" t="s">
        <v>33</v>
      </c>
      <c r="E84" s="226">
        <v>1.0</v>
      </c>
      <c r="F84" s="192" t="s">
        <v>937</v>
      </c>
      <c r="G84" s="192" t="s">
        <v>1098</v>
      </c>
      <c r="H84" s="192" t="s">
        <v>905</v>
      </c>
      <c r="I84" s="192" t="s">
        <v>1126</v>
      </c>
      <c r="J84" s="192" t="s">
        <v>1127</v>
      </c>
      <c r="K84" s="192" t="s">
        <v>1128</v>
      </c>
    </row>
    <row r="85">
      <c r="A85" s="229" t="s">
        <v>438</v>
      </c>
      <c r="B85" s="225" t="s">
        <v>1129</v>
      </c>
      <c r="C85" s="237" t="s">
        <v>1130</v>
      </c>
      <c r="D85" s="237" t="s">
        <v>52</v>
      </c>
      <c r="E85" s="226">
        <v>1.0</v>
      </c>
      <c r="F85" s="192" t="s">
        <v>937</v>
      </c>
      <c r="G85" s="192" t="s">
        <v>1092</v>
      </c>
      <c r="H85" s="192" t="s">
        <v>976</v>
      </c>
      <c r="I85" s="192" t="s">
        <v>1131</v>
      </c>
      <c r="J85" s="192" t="s">
        <v>1132</v>
      </c>
      <c r="K85" s="192" t="s">
        <v>1114</v>
      </c>
    </row>
    <row r="86">
      <c r="A86" s="192" t="s">
        <v>672</v>
      </c>
      <c r="B86" s="225" t="s">
        <v>1133</v>
      </c>
      <c r="C86" s="237" t="s">
        <v>1134</v>
      </c>
      <c r="D86" s="237" t="s">
        <v>33</v>
      </c>
      <c r="E86" s="226">
        <v>1.0</v>
      </c>
      <c r="F86" s="192" t="s">
        <v>937</v>
      </c>
      <c r="G86" s="192" t="s">
        <v>1135</v>
      </c>
      <c r="H86" s="192" t="s">
        <v>905</v>
      </c>
      <c r="I86" s="192" t="s">
        <v>1136</v>
      </c>
      <c r="J86" s="192" t="s">
        <v>1137</v>
      </c>
      <c r="K86" s="192" t="s">
        <v>1138</v>
      </c>
    </row>
    <row r="87">
      <c r="A87" s="218" t="s">
        <v>718</v>
      </c>
      <c r="B87" s="223" t="s">
        <v>1139</v>
      </c>
      <c r="C87" s="238" t="s">
        <v>1140</v>
      </c>
      <c r="D87" s="238" t="s">
        <v>52</v>
      </c>
      <c r="E87" s="220">
        <v>1.0</v>
      </c>
      <c r="F87" s="192" t="s">
        <v>1141</v>
      </c>
      <c r="G87" s="218" t="s">
        <v>1103</v>
      </c>
      <c r="H87" s="218" t="s">
        <v>905</v>
      </c>
      <c r="I87" s="218" t="s">
        <v>1142</v>
      </c>
      <c r="J87" s="218" t="s">
        <v>1143</v>
      </c>
      <c r="K87" s="218" t="s">
        <v>882</v>
      </c>
    </row>
    <row r="88">
      <c r="A88" s="229" t="s">
        <v>448</v>
      </c>
      <c r="B88" s="225" t="s">
        <v>1144</v>
      </c>
      <c r="C88" s="237" t="s">
        <v>1145</v>
      </c>
      <c r="D88" s="237" t="s">
        <v>52</v>
      </c>
      <c r="E88" s="226">
        <v>1.0</v>
      </c>
      <c r="F88" s="192" t="s">
        <v>937</v>
      </c>
      <c r="G88" s="192" t="s">
        <v>1103</v>
      </c>
      <c r="H88" s="192" t="s">
        <v>905</v>
      </c>
      <c r="I88" s="192" t="s">
        <v>1146</v>
      </c>
      <c r="J88" s="192" t="s">
        <v>1147</v>
      </c>
      <c r="K88" s="192" t="s">
        <v>882</v>
      </c>
    </row>
    <row r="89">
      <c r="A89" s="227" t="s">
        <v>842</v>
      </c>
      <c r="B89" s="225" t="s">
        <v>1148</v>
      </c>
      <c r="C89" s="237" t="s">
        <v>1149</v>
      </c>
      <c r="D89" s="237" t="s">
        <v>33</v>
      </c>
      <c r="E89" s="226">
        <v>1.0</v>
      </c>
      <c r="F89" s="192" t="s">
        <v>937</v>
      </c>
      <c r="G89" s="192" t="s">
        <v>1135</v>
      </c>
      <c r="H89" s="192" t="s">
        <v>905</v>
      </c>
      <c r="I89" s="192" t="s">
        <v>1150</v>
      </c>
      <c r="J89" s="192" t="s">
        <v>1151</v>
      </c>
      <c r="K89" s="192" t="s">
        <v>1152</v>
      </c>
    </row>
    <row r="90">
      <c r="A90" s="192" t="s">
        <v>291</v>
      </c>
      <c r="B90" s="225" t="s">
        <v>1153</v>
      </c>
      <c r="C90" s="237" t="s">
        <v>1154</v>
      </c>
      <c r="D90" s="237" t="s">
        <v>52</v>
      </c>
      <c r="E90" s="226">
        <v>1.0</v>
      </c>
      <c r="F90" s="192" t="s">
        <v>1155</v>
      </c>
      <c r="G90" s="192" t="s">
        <v>1117</v>
      </c>
      <c r="H90" s="192" t="s">
        <v>905</v>
      </c>
      <c r="I90" s="192" t="s">
        <v>1156</v>
      </c>
      <c r="J90" s="192" t="s">
        <v>1157</v>
      </c>
      <c r="K90" s="192" t="s">
        <v>860</v>
      </c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</row>
    <row r="92">
      <c r="A92" s="189" t="s">
        <v>1158</v>
      </c>
      <c r="B92" s="193"/>
      <c r="C92" s="193"/>
      <c r="D92" s="193"/>
      <c r="E92" s="193"/>
      <c r="F92" s="193"/>
      <c r="G92" s="193"/>
      <c r="H92" s="193"/>
      <c r="I92" s="193"/>
      <c r="J92" s="193"/>
      <c r="K92" s="193"/>
    </row>
    <row r="93">
      <c r="A93" s="192" t="s">
        <v>453</v>
      </c>
      <c r="B93" s="225" t="s">
        <v>1159</v>
      </c>
      <c r="C93" s="237" t="s">
        <v>1160</v>
      </c>
      <c r="D93" s="192" t="s">
        <v>52</v>
      </c>
      <c r="E93" s="226">
        <v>1.0</v>
      </c>
      <c r="F93" s="192" t="s">
        <v>937</v>
      </c>
      <c r="G93" s="192" t="s">
        <v>1103</v>
      </c>
      <c r="H93" s="192" t="s">
        <v>905</v>
      </c>
      <c r="I93" s="192" t="s">
        <v>1161</v>
      </c>
      <c r="J93" s="192" t="s">
        <v>1162</v>
      </c>
      <c r="K93" s="192" t="s">
        <v>951</v>
      </c>
    </row>
    <row r="94">
      <c r="A94" s="229" t="s">
        <v>1163</v>
      </c>
      <c r="B94" s="231" t="s">
        <v>1164</v>
      </c>
      <c r="C94" s="237" t="s">
        <v>1165</v>
      </c>
      <c r="D94" s="237" t="s">
        <v>52</v>
      </c>
      <c r="E94" s="226">
        <v>1.0</v>
      </c>
      <c r="F94" s="192" t="s">
        <v>937</v>
      </c>
      <c r="G94" s="192" t="s">
        <v>1103</v>
      </c>
      <c r="H94" s="192" t="s">
        <v>905</v>
      </c>
      <c r="I94" s="192" t="s">
        <v>1166</v>
      </c>
      <c r="J94" s="192" t="s">
        <v>1167</v>
      </c>
      <c r="K94" s="192" t="s">
        <v>1168</v>
      </c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</row>
    <row r="96">
      <c r="A96" s="189" t="s">
        <v>1169</v>
      </c>
      <c r="B96" s="193"/>
      <c r="C96" s="193"/>
      <c r="D96" s="193"/>
      <c r="E96" s="193"/>
      <c r="F96" s="193"/>
      <c r="G96" s="193"/>
      <c r="H96" s="193"/>
      <c r="I96" s="193"/>
      <c r="J96" s="193"/>
      <c r="K96" s="193"/>
    </row>
    <row r="97">
      <c r="A97" s="192" t="s">
        <v>1170</v>
      </c>
      <c r="B97" s="225" t="s">
        <v>1171</v>
      </c>
      <c r="C97" s="237" t="s">
        <v>1172</v>
      </c>
      <c r="D97" s="193"/>
      <c r="E97" s="226">
        <v>1.0</v>
      </c>
      <c r="F97" s="192" t="s">
        <v>937</v>
      </c>
      <c r="G97" s="192" t="s">
        <v>1173</v>
      </c>
      <c r="H97" s="192" t="s">
        <v>905</v>
      </c>
      <c r="I97" s="192" t="s">
        <v>1174</v>
      </c>
      <c r="J97" s="193"/>
      <c r="K97" s="192" t="s">
        <v>1175</v>
      </c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</row>
    <row r="99">
      <c r="A99" s="189" t="s">
        <v>1176</v>
      </c>
      <c r="B99" s="193"/>
      <c r="C99" s="193"/>
      <c r="D99" s="193"/>
      <c r="E99" s="193"/>
      <c r="F99" s="193"/>
      <c r="G99" s="193"/>
      <c r="H99" s="193"/>
      <c r="I99" s="193"/>
      <c r="J99" s="193"/>
      <c r="K99" s="193"/>
    </row>
    <row r="100">
      <c r="A100" s="192" t="s">
        <v>467</v>
      </c>
      <c r="B100" s="225" t="s">
        <v>472</v>
      </c>
      <c r="C100" s="192" t="s">
        <v>1177</v>
      </c>
      <c r="D100" s="193"/>
      <c r="E100" s="226">
        <v>1.0</v>
      </c>
      <c r="F100" s="192" t="s">
        <v>937</v>
      </c>
      <c r="G100" s="192" t="s">
        <v>1178</v>
      </c>
      <c r="H100" s="192" t="s">
        <v>976</v>
      </c>
      <c r="I100" s="192" t="s">
        <v>1179</v>
      </c>
      <c r="J100" s="192" t="s">
        <v>1180</v>
      </c>
      <c r="K100" s="192" t="s">
        <v>1175</v>
      </c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</row>
    <row r="102">
      <c r="A102" s="189" t="s">
        <v>1181</v>
      </c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>
      <c r="A103" s="192" t="s">
        <v>360</v>
      </c>
      <c r="B103" s="225" t="s">
        <v>1182</v>
      </c>
      <c r="C103" s="192" t="s">
        <v>1183</v>
      </c>
      <c r="D103" s="193"/>
      <c r="E103" s="226">
        <v>1.0</v>
      </c>
      <c r="F103" s="192" t="s">
        <v>1053</v>
      </c>
      <c r="G103" s="192" t="s">
        <v>1184</v>
      </c>
      <c r="H103" s="193"/>
      <c r="I103" s="192" t="s">
        <v>1185</v>
      </c>
      <c r="J103" s="192" t="s">
        <v>1186</v>
      </c>
      <c r="K103" s="192" t="s">
        <v>1187</v>
      </c>
    </row>
    <row r="104">
      <c r="A104" s="192" t="s">
        <v>1188</v>
      </c>
      <c r="B104" s="225" t="s">
        <v>482</v>
      </c>
      <c r="C104" s="239" t="s">
        <v>1189</v>
      </c>
      <c r="D104" s="240" t="s">
        <v>52</v>
      </c>
      <c r="E104" s="226">
        <v>1.0</v>
      </c>
      <c r="F104" s="192" t="s">
        <v>937</v>
      </c>
      <c r="G104" s="193"/>
      <c r="H104" s="193"/>
      <c r="I104" s="192" t="s">
        <v>1190</v>
      </c>
      <c r="J104" s="192" t="s">
        <v>1191</v>
      </c>
      <c r="K104" s="192" t="s">
        <v>1192</v>
      </c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</row>
    <row r="106">
      <c r="A106" s="189" t="s">
        <v>1193</v>
      </c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</row>
    <row r="107">
      <c r="A107" s="192" t="s">
        <v>473</v>
      </c>
      <c r="B107" s="231" t="s">
        <v>1194</v>
      </c>
      <c r="C107" s="192" t="s">
        <v>1195</v>
      </c>
      <c r="D107" s="193"/>
      <c r="E107" s="226">
        <v>1.0</v>
      </c>
      <c r="F107" s="192" t="s">
        <v>937</v>
      </c>
      <c r="G107" s="192" t="s">
        <v>1028</v>
      </c>
      <c r="H107" s="193"/>
      <c r="I107" s="192" t="s">
        <v>1196</v>
      </c>
      <c r="J107" s="192" t="s">
        <v>1197</v>
      </c>
      <c r="K107" s="192" t="s">
        <v>946</v>
      </c>
    </row>
    <row r="108">
      <c r="A108" s="227" t="s">
        <v>303</v>
      </c>
      <c r="B108" s="225" t="s">
        <v>306</v>
      </c>
      <c r="C108" s="193"/>
      <c r="D108" s="193"/>
      <c r="E108" s="226">
        <v>1.0</v>
      </c>
      <c r="F108" s="193"/>
      <c r="G108" s="192" t="s">
        <v>1028</v>
      </c>
      <c r="H108" s="192" t="s">
        <v>905</v>
      </c>
      <c r="I108" s="239" t="s">
        <v>1198</v>
      </c>
      <c r="J108" s="192" t="s">
        <v>1199</v>
      </c>
      <c r="K108" s="192" t="s">
        <v>1095</v>
      </c>
    </row>
    <row r="109">
      <c r="A109" s="192" t="s">
        <v>1200</v>
      </c>
      <c r="B109" s="225" t="s">
        <v>463</v>
      </c>
      <c r="C109" s="193"/>
      <c r="D109" s="193"/>
      <c r="E109" s="226">
        <v>1.0</v>
      </c>
      <c r="F109" s="192" t="s">
        <v>937</v>
      </c>
      <c r="G109" s="192" t="s">
        <v>1028</v>
      </c>
      <c r="H109" s="193"/>
      <c r="I109" s="193"/>
      <c r="J109" s="193"/>
      <c r="K109" s="193"/>
    </row>
    <row r="110">
      <c r="A110" s="227" t="s">
        <v>1201</v>
      </c>
      <c r="B110" s="241" t="s">
        <v>1202</v>
      </c>
      <c r="C110" s="193"/>
      <c r="D110" s="193"/>
      <c r="E110" s="226">
        <v>80.0</v>
      </c>
      <c r="F110" s="193"/>
      <c r="G110" s="192" t="s">
        <v>1028</v>
      </c>
      <c r="H110" s="193"/>
      <c r="I110" s="193"/>
      <c r="J110" s="193"/>
      <c r="K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</row>
    <row r="112">
      <c r="A112" s="189" t="s">
        <v>1203</v>
      </c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</row>
    <row r="113">
      <c r="A113" s="192" t="s">
        <v>1204</v>
      </c>
      <c r="B113" s="192" t="s">
        <v>312</v>
      </c>
      <c r="C113" s="192" t="s">
        <v>311</v>
      </c>
      <c r="D113" s="193"/>
      <c r="E113" s="226">
        <v>1.0</v>
      </c>
      <c r="F113" s="193"/>
      <c r="G113" s="192" t="s">
        <v>1205</v>
      </c>
      <c r="H113" s="193"/>
      <c r="I113" s="192" t="s">
        <v>1206</v>
      </c>
      <c r="J113" s="193"/>
      <c r="K113" s="193"/>
    </row>
    <row r="114">
      <c r="A114" s="192" t="s">
        <v>501</v>
      </c>
      <c r="B114" s="192" t="s">
        <v>506</v>
      </c>
      <c r="C114" s="192" t="s">
        <v>1207</v>
      </c>
      <c r="D114" s="193"/>
      <c r="E114" s="226">
        <v>1.0</v>
      </c>
      <c r="F114" s="192" t="s">
        <v>1208</v>
      </c>
      <c r="G114" s="192" t="s">
        <v>1205</v>
      </c>
      <c r="H114" s="193"/>
      <c r="I114" s="192" t="s">
        <v>1209</v>
      </c>
      <c r="J114" s="192" t="s">
        <v>1210</v>
      </c>
      <c r="K114" s="192" t="s">
        <v>1211</v>
      </c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</row>
    <row r="116">
      <c r="A116" s="189" t="s">
        <v>1212</v>
      </c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</row>
    <row r="117">
      <c r="A117" s="192" t="s">
        <v>483</v>
      </c>
      <c r="B117" s="193" t="s">
        <v>487</v>
      </c>
      <c r="C117" s="192" t="s">
        <v>486</v>
      </c>
      <c r="D117" s="193"/>
      <c r="E117" s="226">
        <v>1.0</v>
      </c>
      <c r="F117" s="192" t="s">
        <v>1213</v>
      </c>
      <c r="G117" s="192" t="s">
        <v>1214</v>
      </c>
      <c r="H117" s="193"/>
      <c r="I117" s="192" t="s">
        <v>1215</v>
      </c>
      <c r="J117" s="192" t="s">
        <v>1216</v>
      </c>
      <c r="K117" s="192" t="s">
        <v>1217</v>
      </c>
    </row>
    <row r="118">
      <c r="A118" s="192" t="s">
        <v>1218</v>
      </c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</row>
    <row r="121">
      <c r="A121" s="189" t="s">
        <v>1219</v>
      </c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</row>
    <row r="122">
      <c r="A122" s="192" t="s">
        <v>251</v>
      </c>
      <c r="B122" s="225" t="s">
        <v>254</v>
      </c>
      <c r="C122" s="193"/>
      <c r="D122" s="242" t="s">
        <v>33</v>
      </c>
      <c r="E122" s="226">
        <v>2.0</v>
      </c>
      <c r="F122" s="192" t="s">
        <v>1220</v>
      </c>
      <c r="G122" s="193"/>
      <c r="H122" s="193"/>
      <c r="I122" s="192" t="s">
        <v>1221</v>
      </c>
      <c r="J122" s="234">
        <v>94062.0</v>
      </c>
      <c r="K122" s="192" t="s">
        <v>1222</v>
      </c>
    </row>
    <row r="123">
      <c r="A123" s="227" t="s">
        <v>246</v>
      </c>
      <c r="B123" s="231" t="s">
        <v>1223</v>
      </c>
      <c r="C123" s="239" t="s">
        <v>249</v>
      </c>
      <c r="D123" s="192" t="s">
        <v>33</v>
      </c>
      <c r="E123" s="226">
        <v>1.0</v>
      </c>
      <c r="F123" s="192" t="s">
        <v>1224</v>
      </c>
      <c r="G123" s="193"/>
      <c r="H123" s="192" t="s">
        <v>976</v>
      </c>
      <c r="I123" s="192" t="s">
        <v>1225</v>
      </c>
      <c r="J123" s="192" t="s">
        <v>1226</v>
      </c>
      <c r="K123" s="192" t="s">
        <v>1227</v>
      </c>
    </row>
    <row r="124">
      <c r="A124" s="227" t="s">
        <v>260</v>
      </c>
      <c r="B124" s="225" t="s">
        <v>1228</v>
      </c>
      <c r="C124" s="192" t="s">
        <v>1229</v>
      </c>
      <c r="D124" s="192" t="s">
        <v>33</v>
      </c>
      <c r="E124" s="226">
        <v>1.0</v>
      </c>
      <c r="F124" s="192" t="s">
        <v>1230</v>
      </c>
      <c r="G124" s="193"/>
      <c r="H124" s="192" t="s">
        <v>905</v>
      </c>
      <c r="I124" s="192" t="s">
        <v>1231</v>
      </c>
      <c r="J124" s="192" t="s">
        <v>1232</v>
      </c>
      <c r="K124" s="192" t="s">
        <v>1233</v>
      </c>
    </row>
    <row r="125">
      <c r="A125" s="192" t="s">
        <v>272</v>
      </c>
      <c r="B125" s="232" t="s">
        <v>274</v>
      </c>
      <c r="C125" s="193"/>
      <c r="D125" s="192" t="s">
        <v>33</v>
      </c>
      <c r="E125" s="226">
        <v>1.0</v>
      </c>
      <c r="F125" s="192" t="s">
        <v>1076</v>
      </c>
      <c r="G125" s="193"/>
      <c r="H125" s="192" t="s">
        <v>1234</v>
      </c>
      <c r="I125" s="192" t="s">
        <v>1235</v>
      </c>
      <c r="J125" s="192" t="s">
        <v>1236</v>
      </c>
      <c r="K125" s="192" t="s">
        <v>1237</v>
      </c>
    </row>
    <row r="126">
      <c r="A126" s="227" t="s">
        <v>267</v>
      </c>
      <c r="B126" s="225" t="s">
        <v>271</v>
      </c>
      <c r="C126" s="230" t="s">
        <v>270</v>
      </c>
      <c r="D126" s="192" t="s">
        <v>33</v>
      </c>
      <c r="E126" s="226">
        <v>1.0</v>
      </c>
      <c r="F126" s="192" t="s">
        <v>1238</v>
      </c>
      <c r="G126" s="192" t="s">
        <v>1028</v>
      </c>
      <c r="H126" s="192" t="s">
        <v>905</v>
      </c>
      <c r="I126" s="243" t="s">
        <v>1239</v>
      </c>
      <c r="J126" s="244" t="s">
        <v>1240</v>
      </c>
      <c r="K126" s="192" t="s">
        <v>882</v>
      </c>
    </row>
    <row r="127">
      <c r="A127" s="192" t="s">
        <v>314</v>
      </c>
      <c r="B127" s="245" t="s">
        <v>318</v>
      </c>
      <c r="C127" s="193"/>
      <c r="D127" s="192" t="s">
        <v>33</v>
      </c>
      <c r="E127" s="226">
        <v>1.0</v>
      </c>
      <c r="F127" s="192" t="s">
        <v>1241</v>
      </c>
      <c r="G127" s="193"/>
      <c r="H127" s="193"/>
      <c r="I127" s="246" t="s">
        <v>1242</v>
      </c>
      <c r="J127" s="247" t="s">
        <v>1243</v>
      </c>
      <c r="K127" s="247" t="s">
        <v>1244</v>
      </c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>
      <c r="A129" s="189" t="s">
        <v>1245</v>
      </c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>
      <c r="A132" s="192" t="s">
        <v>1246</v>
      </c>
      <c r="B132" s="234">
        <f>COUNTA(A12:A18,A24:A37,A39:A41, A44:A55,A57:A62,A66,A69:A71,A74,A77:A86, A88:A90,A93:A94,A97,A100,A113:A114,A122:A127,A103:A104,A107:A110,A117)</f>
        <v>79</v>
      </c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>
      <c r="A134" s="193"/>
      <c r="B134" s="234">
        <f>B132+79+1</f>
        <v>159</v>
      </c>
      <c r="C134" s="239" t="s">
        <v>1247</v>
      </c>
      <c r="D134" s="193"/>
      <c r="E134" s="193"/>
      <c r="F134" s="193"/>
      <c r="G134" s="193"/>
      <c r="H134" s="193"/>
      <c r="I134" s="193"/>
      <c r="J134" s="193"/>
      <c r="K134" s="193"/>
    </row>
    <row r="135">
      <c r="A135" s="193"/>
      <c r="B135" s="193"/>
      <c r="C135" s="188"/>
      <c r="D135" s="193"/>
      <c r="E135" s="193"/>
      <c r="F135" s="193"/>
      <c r="G135" s="193"/>
      <c r="H135" s="193"/>
      <c r="I135" s="193"/>
      <c r="J135" s="193"/>
      <c r="K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>
      <c r="A140" s="192" t="s">
        <v>1248</v>
      </c>
      <c r="B140" s="193"/>
      <c r="C140" s="234">
        <f>C136-35</f>
        <v>-35</v>
      </c>
      <c r="D140" s="193"/>
      <c r="E140" s="193"/>
      <c r="F140" s="193"/>
      <c r="G140" s="193"/>
      <c r="H140" s="193"/>
      <c r="I140" s="193"/>
      <c r="J140" s="193"/>
      <c r="K140" s="193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6"/>
    <hyperlink r:id="rId13" ref="B17"/>
    <hyperlink r:id="rId14" ref="B18"/>
    <hyperlink r:id="rId15" ref="B19"/>
    <hyperlink r:id="rId16" ref="B20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38"/>
    <hyperlink r:id="rId32" ref="B39"/>
    <hyperlink r:id="rId33" ref="B40"/>
    <hyperlink r:id="rId34" ref="B41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8"/>
    <hyperlink r:id="rId49" ref="B59"/>
    <hyperlink r:id="rId50" ref="B60"/>
    <hyperlink r:id="rId51" ref="B61"/>
    <hyperlink r:id="rId52" ref="B62"/>
    <hyperlink r:id="rId53" ref="B66"/>
    <hyperlink r:id="rId54" ref="B69"/>
    <hyperlink r:id="rId55" ref="B70"/>
    <hyperlink r:id="rId56" ref="B71"/>
    <hyperlink r:id="rId57" ref="B74"/>
    <hyperlink r:id="rId58" ref="B77"/>
    <hyperlink r:id="rId59" ref="B78"/>
    <hyperlink r:id="rId60" ref="B79"/>
    <hyperlink r:id="rId61" ref="B80"/>
    <hyperlink r:id="rId62" ref="B81"/>
    <hyperlink r:id="rId63" ref="B82"/>
    <hyperlink r:id="rId64" ref="B83"/>
    <hyperlink r:id="rId65" ref="B84"/>
    <hyperlink r:id="rId66" ref="B85"/>
    <hyperlink r:id="rId67" ref="B86"/>
    <hyperlink r:id="rId68" ref="B87"/>
    <hyperlink r:id="rId69" ref="B88"/>
    <hyperlink r:id="rId70" ref="B89"/>
    <hyperlink r:id="rId71" ref="B90"/>
    <hyperlink r:id="rId72" ref="B93"/>
    <hyperlink r:id="rId73" ref="B94"/>
    <hyperlink r:id="rId74" ref="B97"/>
    <hyperlink r:id="rId75" ref="B100"/>
    <hyperlink r:id="rId76" ref="B103"/>
    <hyperlink r:id="rId77" ref="B104"/>
    <hyperlink r:id="rId78" ref="B107"/>
    <hyperlink r:id="rId79" ref="B108"/>
    <hyperlink r:id="rId80" ref="B109"/>
    <hyperlink r:id="rId81" ref="B110"/>
    <hyperlink r:id="rId82" ref="B122"/>
    <hyperlink r:id="rId83" ref="B123"/>
    <hyperlink r:id="rId84" ref="B124"/>
    <hyperlink r:id="rId85" ref="B125"/>
    <hyperlink r:id="rId86" ref="B126"/>
    <hyperlink r:id="rId87" ref="B127"/>
  </hyperlinks>
  <drawing r:id="rId8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34.88"/>
  </cols>
  <sheetData>
    <row r="1">
      <c r="A1" s="248" t="s">
        <v>1249</v>
      </c>
    </row>
    <row r="3">
      <c r="A3" s="249" t="s">
        <v>1250</v>
      </c>
      <c r="B3" s="249" t="s">
        <v>1251</v>
      </c>
    </row>
    <row r="4">
      <c r="A4" s="250" t="s">
        <v>1252</v>
      </c>
      <c r="B4" s="83" t="s">
        <v>1253</v>
      </c>
    </row>
    <row r="5">
      <c r="A5" s="250" t="s">
        <v>1254</v>
      </c>
      <c r="B5" s="83" t="s">
        <v>488</v>
      </c>
    </row>
    <row r="6">
      <c r="A6" s="250" t="s">
        <v>1255</v>
      </c>
      <c r="B6" s="83" t="s">
        <v>723</v>
      </c>
    </row>
    <row r="7">
      <c r="A7" s="250" t="s">
        <v>1256</v>
      </c>
      <c r="B7" s="83" t="s">
        <v>508</v>
      </c>
    </row>
    <row r="8">
      <c r="A8" s="250" t="s">
        <v>1257</v>
      </c>
      <c r="B8" s="83" t="s">
        <v>319</v>
      </c>
    </row>
    <row r="9">
      <c r="A9" s="250" t="s">
        <v>1258</v>
      </c>
    </row>
    <row r="10">
      <c r="A10" s="250" t="s">
        <v>1259</v>
      </c>
    </row>
    <row r="11">
      <c r="A11" s="250" t="s">
        <v>1260</v>
      </c>
    </row>
    <row r="12">
      <c r="A12" s="250" t="s">
        <v>1261</v>
      </c>
    </row>
    <row r="13">
      <c r="A13" s="250" t="s">
        <v>1262</v>
      </c>
    </row>
    <row r="14">
      <c r="A14" s="250" t="s">
        <v>1263</v>
      </c>
    </row>
    <row r="15">
      <c r="A15" s="250" t="s">
        <v>1264</v>
      </c>
    </row>
    <row r="16">
      <c r="A16" s="250" t="s">
        <v>1265</v>
      </c>
    </row>
    <row r="17">
      <c r="A17" s="250" t="s">
        <v>1266</v>
      </c>
    </row>
    <row r="18">
      <c r="A18" s="250" t="s">
        <v>1267</v>
      </c>
    </row>
    <row r="22">
      <c r="A22" s="83" t="s">
        <v>1268</v>
      </c>
    </row>
  </sheetData>
  <drawing r:id="rId1"/>
</worksheet>
</file>