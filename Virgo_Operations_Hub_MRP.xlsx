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ales Orders" sheetId="2" state="visible" r:id="rId4"/>
    <sheet name="Inventory" sheetId="3" state="visible" r:id="rId5"/>
    <sheet name="Make Orders" sheetId="4" state="visible" r:id="rId6"/>
    <sheet name="Vendors &amp; POs" sheetId="5" state="visible" r:id="rId7"/>
    <sheet name="BOMs" sheetId="6" state="visible" r:id="rId8"/>
    <sheet name="Serial Tracker" sheetId="7" state="visible" r:id="rId9"/>
    <sheet name="Shipping &amp; Tracking" sheetId="8" state="visible" r:id="rId10"/>
    <sheet name="Products" sheetId="9" state="visible" r:id="rId11"/>
    <sheet name="Customers" sheetId="10" state="visible" r:id="rId12"/>
    <sheet name="Setting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<sst xmlns="http://schemas.openxmlformats.org/spreadsheetml/2006/main" count="3148" uniqueCount="1229">
  <si>
    <t xml:space="preserve">Virgo Operations Hub — MRP Dashboard</t>
  </si>
  <si>
    <t xml:space="preserve">Real-time overview across all modules</t>
  </si>
  <si>
    <t xml:space="preserve">Metric</t>
  </si>
  <si>
    <t xml:space="preserve">Value</t>
  </si>
  <si>
    <t xml:space="preserve">Formula Source</t>
  </si>
  <si>
    <t xml:space="preserve">Status</t>
  </si>
  <si>
    <t xml:space="preserve">Open Sales Orders</t>
  </si>
  <si>
    <t xml:space="preserve">Sales Orders!K</t>
  </si>
  <si>
    <t xml:space="preserve">Total SO Revenue (pending)</t>
  </si>
  <si>
    <t xml:space="preserve">Sales Orders!I</t>
  </si>
  <si>
    <t xml:space="preserve">Total SKUs in Inventory</t>
  </si>
  <si>
    <t xml:space="preserve">Inventory!A</t>
  </si>
  <si>
    <t xml:space="preserve">Low Stock Alerts</t>
  </si>
  <si>
    <t xml:space="preserve">Inventory!J</t>
  </si>
  <si>
    <t xml:space="preserve">Open Make Orders</t>
  </si>
  <si>
    <t xml:space="preserve">Make Orders!J</t>
  </si>
  <si>
    <t xml:space="preserve">Open Purchase Orders</t>
  </si>
  <si>
    <t xml:space="preserve">Vendors &amp; POs!L</t>
  </si>
  <si>
    <t xml:space="preserve">Shipments In Transit</t>
  </si>
  <si>
    <t xml:space="preserve">Shipping!J</t>
  </si>
  <si>
    <t xml:space="preserve">Active BOMs</t>
  </si>
  <si>
    <t xml:space="preserve">BOMs!A</t>
  </si>
  <si>
    <t xml:space="preserve">Total Customers</t>
  </si>
  <si>
    <t xml:space="preserve">Customers!A</t>
  </si>
  <si>
    <t xml:space="preserve">Total Products</t>
  </si>
  <si>
    <t xml:space="preserve">Products!A</t>
  </si>
  <si>
    <t xml:space="preserve">Inventory Value</t>
  </si>
  <si>
    <t xml:space="preserve">Inventory!E x K</t>
  </si>
  <si>
    <t xml:space="preserve">Revenue (30 days)</t>
  </si>
  <si>
    <t xml:space="preserve">SO date + status + amount</t>
  </si>
  <si>
    <t xml:space="preserve">Fulfilled (30 days)</t>
  </si>
  <si>
    <t xml:space="preserve">SO date + fulfillment</t>
  </si>
  <si>
    <t xml:space="preserve">Avg Order Value</t>
  </si>
  <si>
    <t xml:space="preserve">Low Stock Alert Count</t>
  </si>
  <si>
    <t xml:space="preserve">Inventory!U (new)</t>
  </si>
  <si>
    <t xml:space="preserve">Overdue Purchase Orders</t>
  </si>
  <si>
    <t xml:space="preserve">Vendors &amp; POs!W (new)</t>
  </si>
  <si>
    <t xml:space="preserve">Predicted Days to Stockout</t>
  </si>
  <si>
    <t xml:space="preserve">Inventory!T (new)</t>
  </si>
  <si>
    <t xml:space="preserve">Active Serials Tracked</t>
  </si>
  <si>
    <t xml:space="preserve">Serial Tracker!A (new)</t>
  </si>
  <si>
    <t xml:space="preserve">Open HubSpot Tickets</t>
  </si>
  <si>
    <t xml:space="preserve">Serial Tracker!M (new)</t>
  </si>
  <si>
    <t xml:space="preserve">Units Pending Shipment</t>
  </si>
  <si>
    <t xml:space="preserve">Customers</t>
  </si>
  <si>
    <t xml:space="preserve">Customer database</t>
  </si>
  <si>
    <t xml:space="preserve">Contact info, Shopify/HubSpot IDs, order history summary</t>
  </si>
  <si>
    <t xml:space="preserve">Demand Forecast &amp; Planning</t>
  </si>
  <si>
    <t xml:space="preserve">Formula</t>
  </si>
  <si>
    <t xml:space="preserve">Notes</t>
  </si>
  <si>
    <t xml:space="preserve">Orders (Last 30 Days)</t>
  </si>
  <si>
    <t xml:space="preserve">COUNTIFS on date</t>
  </si>
  <si>
    <t xml:space="preserve">Rolling window</t>
  </si>
  <si>
    <t xml:space="preserve">Orders (Last 60 Days)</t>
  </si>
  <si>
    <t xml:space="preserve">Orders (Last 90 Days)</t>
  </si>
  <si>
    <t xml:space="preserve">Avg Daily Order Rate (30d)</t>
  </si>
  <si>
    <t xml:space="preserve">Orders / 30</t>
  </si>
  <si>
    <t xml:space="preserve">Key demand signal</t>
  </si>
  <si>
    <t xml:space="preserve">Projected Monthly Demand</t>
  </si>
  <si>
    <t xml:space="preserve">Daily rate x 30</t>
  </si>
  <si>
    <t xml:space="preserve">Next 30-day projection</t>
  </si>
  <si>
    <t xml:space="preserve">Months of Inventory Remaining</t>
  </si>
  <si>
    <t xml:space="preserve">Total stock / monthly demand</t>
  </si>
  <si>
    <t xml:space="preserve">Runway estimate</t>
  </si>
  <si>
    <t xml:space="preserve">Revenue Velocity ($/day, 30d)</t>
  </si>
  <si>
    <t xml:space="preserve">Revenue / 30 days</t>
  </si>
  <si>
    <t xml:space="preserve">Revenue burn rate</t>
  </si>
  <si>
    <t xml:space="preserve">Sales Orders</t>
  </si>
  <si>
    <t xml:space="preserve">Synced from Shopify &amp; HubSpot — Track fulfillment end-to-end</t>
  </si>
  <si>
    <t xml:space="preserve">SO Number</t>
  </si>
  <si>
    <t xml:space="preserve">Order Date</t>
  </si>
  <si>
    <t xml:space="preserve">Channel</t>
  </si>
  <si>
    <t xml:space="preserve">Channel Order ID</t>
  </si>
  <si>
    <t xml:space="preserve">Customer Name</t>
  </si>
  <si>
    <t xml:space="preserve">Customer Email</t>
  </si>
  <si>
    <t xml:space="preserve">Products (SKUs)</t>
  </si>
  <si>
    <t xml:space="preserve">Qty</t>
  </si>
  <si>
    <t xml:space="preserve">Total Amount</t>
  </si>
  <si>
    <t xml:space="preserve">Currency</t>
  </si>
  <si>
    <t xml:space="preserve">Payment Status</t>
  </si>
  <si>
    <t xml:space="preserve">Fulfillment Status</t>
  </si>
  <si>
    <t xml:space="preserve">Assigned Warehouse</t>
  </si>
  <si>
    <t xml:space="preserve">Make Order Ref</t>
  </si>
  <si>
    <t xml:space="preserve">Ship By Date</t>
  </si>
  <si>
    <t xml:space="preserve">Shipped Date</t>
  </si>
  <si>
    <t xml:space="preserve">Tracking Number</t>
  </si>
  <si>
    <t xml:space="preserve">Return Status</t>
  </si>
  <si>
    <t xml:space="preserve">RMA Number</t>
  </si>
  <si>
    <t xml:space="preserve">Return Reason</t>
  </si>
  <si>
    <t xml:space="preserve">#1111</t>
  </si>
  <si>
    <t xml:space="preserve">2026-04-10</t>
  </si>
  <si>
    <t xml:space="preserve">Shopify</t>
  </si>
  <si>
    <t xml:space="preserve">Annmarie Kennedy</t>
  </si>
  <si>
    <t xml:space="preserve">LILA-001</t>
  </si>
  <si>
    <t xml:space="preserve">USD</t>
  </si>
  <si>
    <t xml:space="preserve">Open</t>
  </si>
  <si>
    <t xml:space="preserve">Paid</t>
  </si>
  <si>
    <t xml:space="preserve">Unfulfilled</t>
  </si>
  <si>
    <t xml:space="preserve">U.S. Free Shipping</t>
  </si>
  <si>
    <t xml:space="preserve">#1110</t>
  </si>
  <si>
    <t xml:space="preserve">Phayvanh Nanthavongdouangsy</t>
  </si>
  <si>
    <t xml:space="preserve">#1109</t>
  </si>
  <si>
    <t xml:space="preserve">2026-04-09</t>
  </si>
  <si>
    <t xml:space="preserve">Sarah Harris</t>
  </si>
  <si>
    <t xml:space="preserve">#1108</t>
  </si>
  <si>
    <t xml:space="preserve">Kristen Pimentel</t>
  </si>
  <si>
    <t xml:space="preserve">#1107</t>
  </si>
  <si>
    <t xml:space="preserve">2026-04-07</t>
  </si>
  <si>
    <t xml:space="preserve">Louis DiPalma</t>
  </si>
  <si>
    <t xml:space="preserve">ljdpdm@me.com</t>
  </si>
  <si>
    <t xml:space="preserve">#1106</t>
  </si>
  <si>
    <t xml:space="preserve">Pedrum</t>
  </si>
  <si>
    <t xml:space="preserve">Delivered</t>
  </si>
  <si>
    <t xml:space="preserve">Fulfilled</t>
  </si>
  <si>
    <t xml:space="preserve">#1105</t>
  </si>
  <si>
    <t xml:space="preserve">CAD</t>
  </si>
  <si>
    <t xml:space="preserve">Canpar Ground</t>
  </si>
  <si>
    <t xml:space="preserve">#1104</t>
  </si>
  <si>
    <t xml:space="preserve">2026-03-31</t>
  </si>
  <si>
    <t xml:space="preserve">Katrina Dowd</t>
  </si>
  <si>
    <t xml:space="preserve">katrinadowd83@gmail.com</t>
  </si>
  <si>
    <t xml:space="preserve">Standard International</t>
  </si>
  <si>
    <t xml:space="preserve">#1103</t>
  </si>
  <si>
    <t xml:space="preserve">2026-03-27</t>
  </si>
  <si>
    <t xml:space="preserve">Angela Findlay</t>
  </si>
  <si>
    <t xml:space="preserve">fireandprose17@outlook.com</t>
  </si>
  <si>
    <t xml:space="preserve">Standard</t>
  </si>
  <si>
    <t xml:space="preserve">#1102</t>
  </si>
  <si>
    <t xml:space="preserve">Matthew Mossey</t>
  </si>
  <si>
    <t xml:space="preserve">Standard | Open ticket HS-0048: Machine crack (P100 needed)</t>
  </si>
  <si>
    <t xml:space="preserve">#1101</t>
  </si>
  <si>
    <t xml:space="preserve">2026-03-26</t>
  </si>
  <si>
    <t xml:space="preserve">#1100</t>
  </si>
  <si>
    <t xml:space="preserve">Elizabeth Antony</t>
  </si>
  <si>
    <t xml:space="preserve">#1099</t>
  </si>
  <si>
    <t xml:space="preserve">2026-03-23</t>
  </si>
  <si>
    <t xml:space="preserve">Tara Dupper</t>
  </si>
  <si>
    <t xml:space="preserve">Tarajdupper@gmail.com</t>
  </si>
  <si>
    <t xml:space="preserve">#1098</t>
  </si>
  <si>
    <t xml:space="preserve">2026-03-22</t>
  </si>
  <si>
    <t xml:space="preserve">Lisa Clarke</t>
  </si>
  <si>
    <t xml:space="preserve">lisaclarkewell@gmail.com</t>
  </si>
  <si>
    <t xml:space="preserve">#1097</t>
  </si>
  <si>
    <t xml:space="preserve">Cole Perkins</t>
  </si>
  <si>
    <t xml:space="preserve">cperkins39741@gmail.com</t>
  </si>
  <si>
    <t xml:space="preserve">#1096</t>
  </si>
  <si>
    <t xml:space="preserve">Rebecca Campbell</t>
  </si>
  <si>
    <t xml:space="preserve">campbellra652@gmail.com</t>
  </si>
  <si>
    <t xml:space="preserve">#1095</t>
  </si>
  <si>
    <t xml:space="preserve">2026-03-21</t>
  </si>
  <si>
    <t xml:space="preserve">Jacob Wenger</t>
  </si>
  <si>
    <t xml:space="preserve">wenger.jake@gmail.com</t>
  </si>
  <si>
    <t xml:space="preserve">#1094</t>
  </si>
  <si>
    <t xml:space="preserve">2026-03-19</t>
  </si>
  <si>
    <t xml:space="preserve">Ashley Wright</t>
  </si>
  <si>
    <t xml:space="preserve">#1093</t>
  </si>
  <si>
    <t xml:space="preserve">2026-03-18</t>
  </si>
  <si>
    <t xml:space="preserve">Brent Neave</t>
  </si>
  <si>
    <t xml:space="preserve">brent@baker-neave.com</t>
  </si>
  <si>
    <t xml:space="preserve">#1092</t>
  </si>
  <si>
    <t xml:space="preserve">2026-03-16</t>
  </si>
  <si>
    <t xml:space="preserve">Dale Bober</t>
  </si>
  <si>
    <t xml:space="preserve">dalebober@gmail.com</t>
  </si>
  <si>
    <t xml:space="preserve">#1091</t>
  </si>
  <si>
    <t xml:space="preserve">Scott Iles</t>
  </si>
  <si>
    <t xml:space="preserve">mrscottg@gmail.com</t>
  </si>
  <si>
    <t xml:space="preserve">2026-03-05</t>
  </si>
  <si>
    <t xml:space="preserve">D420352470001907601001</t>
  </si>
  <si>
    <t xml:space="preserve">#1090</t>
  </si>
  <si>
    <t xml:space="preserve">2026-03-14</t>
  </si>
  <si>
    <t xml:space="preserve">Rick Stauffer</t>
  </si>
  <si>
    <t xml:space="preserve">rick@freshveggie.com</t>
  </si>
  <si>
    <t xml:space="preserve">#1089</t>
  </si>
  <si>
    <t xml:space="preserve">2026-03-13</t>
  </si>
  <si>
    <t xml:space="preserve">Pedrum Amin</t>
  </si>
  <si>
    <t xml:space="preserve">#1088</t>
  </si>
  <si>
    <t xml:space="preserve">2026-03-11</t>
  </si>
  <si>
    <t xml:space="preserve">Antonio Cernuto</t>
  </si>
  <si>
    <t xml:space="preserve">antonio@pur2o.com</t>
  </si>
  <si>
    <t xml:space="preserve">#1087</t>
  </si>
  <si>
    <t xml:space="preserve">2026-03-06</t>
  </si>
  <si>
    <t xml:space="preserve">Rashida Lee</t>
  </si>
  <si>
    <t xml:space="preserve">happy1today@gmail.com</t>
  </si>
  <si>
    <t xml:space="preserve">1ZV56D26DK14619146</t>
  </si>
  <si>
    <t xml:space="preserve">#1086</t>
  </si>
  <si>
    <t xml:space="preserve">2026-02-28</t>
  </si>
  <si>
    <t xml:space="preserve">Jean Cotis</t>
  </si>
  <si>
    <t xml:space="preserve">designerjeanssalon@yahoo.com</t>
  </si>
  <si>
    <t xml:space="preserve">1ZV56D26DK21357951</t>
  </si>
  <si>
    <t xml:space="preserve">#1085</t>
  </si>
  <si>
    <t xml:space="preserve">Frederick Whittington</t>
  </si>
  <si>
    <t xml:space="preserve">fawjr61@gmail.com</t>
  </si>
  <si>
    <t xml:space="preserve">1ZV56D26DK26329419</t>
  </si>
  <si>
    <t xml:space="preserve">#1084</t>
  </si>
  <si>
    <t xml:space="preserve">2026-02-27</t>
  </si>
  <si>
    <t xml:space="preserve">Justin Plumley</t>
  </si>
  <si>
    <t xml:space="preserve">jplumley6@yahoo.com</t>
  </si>
  <si>
    <t xml:space="preserve">1ZV56D26DK25313599</t>
  </si>
  <si>
    <t xml:space="preserve">#1083</t>
  </si>
  <si>
    <t xml:space="preserve">#1082</t>
  </si>
  <si>
    <t xml:space="preserve">2026-02-26</t>
  </si>
  <si>
    <t xml:space="preserve">Richard Ahola</t>
  </si>
  <si>
    <t xml:space="preserve">#1081</t>
  </si>
  <si>
    <t xml:space="preserve">2026-02-25</t>
  </si>
  <si>
    <t xml:space="preserve">#1080</t>
  </si>
  <si>
    <t xml:space="preserve">AUDREY BALANAY-ST JOHN</t>
  </si>
  <si>
    <t xml:space="preserve">audreystjohn143@gmail.com</t>
  </si>
  <si>
    <t xml:space="preserve">1ZV56D26DK23942494</t>
  </si>
  <si>
    <t xml:space="preserve">#1079</t>
  </si>
  <si>
    <t xml:space="preserve">Michael Romans</t>
  </si>
  <si>
    <t xml:space="preserve">xseaman@msn.com</t>
  </si>
  <si>
    <t xml:space="preserve">1ZV56D26DK28560325</t>
  </si>
  <si>
    <t xml:space="preserve">#1078</t>
  </si>
  <si>
    <t xml:space="preserve">2026-02-24</t>
  </si>
  <si>
    <t xml:space="preserve">Suzan Jackovatz</t>
  </si>
  <si>
    <t xml:space="preserve">suzan@jackovatz.com</t>
  </si>
  <si>
    <t xml:space="preserve">1ZV56D26DK04334507</t>
  </si>
  <si>
    <t xml:space="preserve">#1077</t>
  </si>
  <si>
    <t xml:space="preserve">2026-02-23</t>
  </si>
  <si>
    <t xml:space="preserve">Dixie Bean</t>
  </si>
  <si>
    <t xml:space="preserve">dixbean@yahoo.com</t>
  </si>
  <si>
    <t xml:space="preserve">1ZV56D26DK18155292</t>
  </si>
  <si>
    <t xml:space="preserve">#1076</t>
  </si>
  <si>
    <t xml:space="preserve">Joy Seargeant</t>
  </si>
  <si>
    <t xml:space="preserve">thejosierave@hotmail.com</t>
  </si>
  <si>
    <t xml:space="preserve">D420352470001966966001</t>
  </si>
  <si>
    <t xml:space="preserve">#1075</t>
  </si>
  <si>
    <t xml:space="preserve">2026-02-22</t>
  </si>
  <si>
    <t xml:space="preserve">Ann Prendergast</t>
  </si>
  <si>
    <t xml:space="preserve">evirdhgih@gmail.com</t>
  </si>
  <si>
    <t xml:space="preserve">#1074</t>
  </si>
  <si>
    <t xml:space="preserve">Sandra Sweet</t>
  </si>
  <si>
    <t xml:space="preserve">Shschestnut@gmail.com</t>
  </si>
  <si>
    <t xml:space="preserve">1ZV56D26DK09789697</t>
  </si>
  <si>
    <t xml:space="preserve">#1073</t>
  </si>
  <si>
    <t xml:space="preserve">Karon Plasha</t>
  </si>
  <si>
    <t xml:space="preserve">kfplasha@icloud.com</t>
  </si>
  <si>
    <t xml:space="preserve">1ZV56D26DK36337632</t>
  </si>
  <si>
    <t xml:space="preserve">#1072</t>
  </si>
  <si>
    <t xml:space="preserve">2026-02-19</t>
  </si>
  <si>
    <t xml:space="preserve">Robert Simoneau</t>
  </si>
  <si>
    <t xml:space="preserve">robert@akamna.com</t>
  </si>
  <si>
    <t xml:space="preserve">D556276790000035134001</t>
  </si>
  <si>
    <t xml:space="preserve">#1071</t>
  </si>
  <si>
    <t xml:space="preserve">2026-02-18</t>
  </si>
  <si>
    <t xml:space="preserve">Anthony kurt</t>
  </si>
  <si>
    <t xml:space="preserve">tnykurt313@yahoo.com</t>
  </si>
  <si>
    <t xml:space="preserve">1ZV56D26DK37674810</t>
  </si>
  <si>
    <t xml:space="preserve">Standard International | Open ticket HS-0075: Top lid cracked (replacement needed)</t>
  </si>
  <si>
    <t xml:space="preserve">#1070</t>
  </si>
  <si>
    <t xml:space="preserve">ron russell</t>
  </si>
  <si>
    <t xml:space="preserve">ron@newcmi.ca</t>
  </si>
  <si>
    <t xml:space="preserve">#1069</t>
  </si>
  <si>
    <t xml:space="preserve">2026-02-16</t>
  </si>
  <si>
    <t xml:space="preserve">Robert Buckley</t>
  </si>
  <si>
    <t xml:space="preserve">robert.daniel.buckley@gmail.com</t>
  </si>
  <si>
    <t xml:space="preserve">1ZV56D26DK01309291</t>
  </si>
  <si>
    <t xml:space="preserve">#1068</t>
  </si>
  <si>
    <t xml:space="preserve">2026-02-15</t>
  </si>
  <si>
    <t xml:space="preserve">Fred Rice</t>
  </si>
  <si>
    <t xml:space="preserve">ricefj50@yahoo.com</t>
  </si>
  <si>
    <t xml:space="preserve">1ZV56D26DK37984360</t>
  </si>
  <si>
    <t xml:space="preserve">#1067</t>
  </si>
  <si>
    <t xml:space="preserve">2026-02-13</t>
  </si>
  <si>
    <t xml:space="preserve">Scott Gilbert</t>
  </si>
  <si>
    <t xml:space="preserve">#1066</t>
  </si>
  <si>
    <t xml:space="preserve">Melissa Braschuk</t>
  </si>
  <si>
    <t xml:space="preserve">#1065</t>
  </si>
  <si>
    <t xml:space="preserve">Tricia Bowling</t>
  </si>
  <si>
    <t xml:space="preserve">Triciab12@gmail.com</t>
  </si>
  <si>
    <t xml:space="preserve">1ZV56D26DK06672193</t>
  </si>
  <si>
    <t xml:space="preserve">Standard International | Open ticket HS-0076: Machine flashing issue</t>
  </si>
  <si>
    <t xml:space="preserve">#1064</t>
  </si>
  <si>
    <t xml:space="preserve">Joseph Le</t>
  </si>
  <si>
    <t xml:space="preserve">Cancelled</t>
  </si>
  <si>
    <t xml:space="preserve">Refunded</t>
  </si>
  <si>
    <t xml:space="preserve">#1063</t>
  </si>
  <si>
    <t xml:space="preserve">2026-02-12</t>
  </si>
  <si>
    <t xml:space="preserve">Jeremiah Pauw</t>
  </si>
  <si>
    <t xml:space="preserve">jeremiah@peacockhospitality.ca</t>
  </si>
  <si>
    <t xml:space="preserve">D420352470001907597001</t>
  </si>
  <si>
    <t xml:space="preserve">#1062</t>
  </si>
  <si>
    <t xml:space="preserve">2026-02-10</t>
  </si>
  <si>
    <t xml:space="preserve">Douglas Hanson</t>
  </si>
  <si>
    <t xml:space="preserve">dhanson7298@gmail.com</t>
  </si>
  <si>
    <t xml:space="preserve">1ZV56D26DK34315829</t>
  </si>
  <si>
    <t xml:space="preserve">Standard International | Open ticket HS-0077: Back lid/power button issue</t>
  </si>
  <si>
    <t xml:space="preserve">Inventory Management</t>
  </si>
  <si>
    <t xml:space="preserve">Real-time stock levels across all locations</t>
  </si>
  <si>
    <t xml:space="preserve">Status: OK / LOW / OUT (auto-calculated)</t>
  </si>
  <si>
    <t xml:space="preserve">SKU</t>
  </si>
  <si>
    <t xml:space="preserve">Product Name</t>
  </si>
  <si>
    <t xml:space="preserve">Category</t>
  </si>
  <si>
    <t xml:space="preserve">Location</t>
  </si>
  <si>
    <t xml:space="preserve">On Hand Qty</t>
  </si>
  <si>
    <t xml:space="preserve">Committed Qty</t>
  </si>
  <si>
    <t xml:space="preserve">Available Qty</t>
  </si>
  <si>
    <t xml:space="preserve">Expected Qty</t>
  </si>
  <si>
    <t xml:space="preserve">Reorder Point</t>
  </si>
  <si>
    <t xml:space="preserve">Stock Status</t>
  </si>
  <si>
    <t xml:space="preserve">Unit Cost</t>
  </si>
  <si>
    <t xml:space="preserve">Total Value</t>
  </si>
  <si>
    <t xml:space="preserve">Batch/Lot #</t>
  </si>
  <si>
    <t xml:space="preserve">Expiry Date</t>
  </si>
  <si>
    <t xml:space="preserve">Last Updated</t>
  </si>
  <si>
    <t xml:space="preserve">Lead Time (days)</t>
  </si>
  <si>
    <t xml:space="preserve">Reorder Qty</t>
  </si>
  <si>
    <t xml:space="preserve">Safety Stock</t>
  </si>
  <si>
    <t xml:space="preserve">Days on Hand</t>
  </si>
  <si>
    <t xml:space="preserve">Reorder Alert</t>
  </si>
  <si>
    <t xml:space="preserve">VH-100</t>
  </si>
  <si>
    <t xml:space="preserve">Virgo Smart Hub</t>
  </si>
  <si>
    <t xml:space="preserve">Smart Home</t>
  </si>
  <si>
    <t xml:space="preserve">Toronto-01</t>
  </si>
  <si>
    <t xml:space="preserve">LOT-2026-041</t>
  </si>
  <si>
    <t xml:space="preserve">2028-04-01</t>
  </si>
  <si>
    <t xml:space="preserve">VH-200</t>
  </si>
  <si>
    <t xml:space="preserve">Virgo Motion Sensor</t>
  </si>
  <si>
    <t xml:space="preserve">Sensors</t>
  </si>
  <si>
    <t xml:space="preserve">LOT-2026-038</t>
  </si>
  <si>
    <t xml:space="preserve">2029-01-01</t>
  </si>
  <si>
    <t xml:space="preserve">VH-300</t>
  </si>
  <si>
    <t xml:space="preserve">Virgo Security Cam</t>
  </si>
  <si>
    <t xml:space="preserve">Security</t>
  </si>
  <si>
    <t xml:space="preserve">LOT-2026-035</t>
  </si>
  <si>
    <t xml:space="preserve">2028-06-01</t>
  </si>
  <si>
    <t xml:space="preserve">Order more from supplier</t>
  </si>
  <si>
    <t xml:space="preserve">VH-400</t>
  </si>
  <si>
    <t xml:space="preserve">Virgo Door Lock</t>
  </si>
  <si>
    <t xml:space="preserve">Access</t>
  </si>
  <si>
    <t xml:space="preserve">LOT-2026-040</t>
  </si>
  <si>
    <t xml:space="preserve">2028-12-01</t>
  </si>
  <si>
    <t xml:space="preserve">Vancouver-01</t>
  </si>
  <si>
    <t xml:space="preserve">LOT-2026-039</t>
  </si>
  <si>
    <t xml:space="preserve">VH-500</t>
  </si>
  <si>
    <t xml:space="preserve">Virgo Thermostat</t>
  </si>
  <si>
    <t xml:space="preserve">Climate</t>
  </si>
  <si>
    <t xml:space="preserve">LOT-2026-042</t>
  </si>
  <si>
    <t xml:space="preserve">2029-03-01</t>
  </si>
  <si>
    <t xml:space="preserve">LOW - PO submitted</t>
  </si>
  <si>
    <t xml:space="preserve">Make Order Management</t>
  </si>
  <si>
    <t xml:space="preserve">Manufacturing &amp; production order tracking</t>
  </si>
  <si>
    <t xml:space="preserve">MO Number</t>
  </si>
  <si>
    <t xml:space="preserve">Created Date</t>
  </si>
  <si>
    <t xml:space="preserve">Product SKU</t>
  </si>
  <si>
    <t xml:space="preserve">BOM Version</t>
  </si>
  <si>
    <t xml:space="preserve">Qty to Make</t>
  </si>
  <si>
    <t xml:space="preserve">Qty Completed</t>
  </si>
  <si>
    <t xml:space="preserve">% Complete</t>
  </si>
  <si>
    <t xml:space="preserve">Start Date</t>
  </si>
  <si>
    <t xml:space="preserve">Due Date</t>
  </si>
  <si>
    <t xml:space="preserve">Assigned To</t>
  </si>
  <si>
    <t xml:space="preserve">Materials Status</t>
  </si>
  <si>
    <t xml:space="preserve">Labor Hours (Est)</t>
  </si>
  <si>
    <t xml:space="preserve">Labor Hours (Actual)</t>
  </si>
  <si>
    <t xml:space="preserve">Production Notes</t>
  </si>
  <si>
    <t xml:space="preserve">Linked SO</t>
  </si>
  <si>
    <t xml:space="preserve">Warehouse</t>
  </si>
  <si>
    <t xml:space="preserve">MO-001</t>
  </si>
  <si>
    <t xml:space="preserve">2026-04-08</t>
  </si>
  <si>
    <t xml:space="preserve">v2.1</t>
  </si>
  <si>
    <t xml:space="preserve">Planned</t>
  </si>
  <si>
    <t xml:space="preserve">2026-04-14</t>
  </si>
  <si>
    <t xml:space="preserve">Line A Team</t>
  </si>
  <si>
    <t xml:space="preserve">Available</t>
  </si>
  <si>
    <t xml:space="preserve">Waiting for production slot</t>
  </si>
  <si>
    <t xml:space="preserve">SO-001</t>
  </si>
  <si>
    <t xml:space="preserve">MO-002</t>
  </si>
  <si>
    <t xml:space="preserve">v1.3</t>
  </si>
  <si>
    <t xml:space="preserve">In Progress</t>
  </si>
  <si>
    <t xml:space="preserve">2026-04-16</t>
  </si>
  <si>
    <t xml:space="preserve">Line B Team</t>
  </si>
  <si>
    <t xml:space="preserve">Partial</t>
  </si>
  <si>
    <t xml:space="preserve">3 units completed, waiting on lens modules</t>
  </si>
  <si>
    <t xml:space="preserve">SO-002</t>
  </si>
  <si>
    <t xml:space="preserve">MO-003</t>
  </si>
  <si>
    <t xml:space="preserve">2026-04-05</t>
  </si>
  <si>
    <t xml:space="preserve">v3.0</t>
  </si>
  <si>
    <t xml:space="preserve">Completed</t>
  </si>
  <si>
    <t xml:space="preserve">Complete</t>
  </si>
  <si>
    <t xml:space="preserve">Batch complete, QC passed</t>
  </si>
  <si>
    <t xml:space="preserve">MO-004</t>
  </si>
  <si>
    <t xml:space="preserve">v1.0</t>
  </si>
  <si>
    <t xml:space="preserve">2026-04-12</t>
  </si>
  <si>
    <t xml:space="preserve">2026-04-22</t>
  </si>
  <si>
    <t xml:space="preserve">Line C Team</t>
  </si>
  <si>
    <t xml:space="preserve">Awaiting PO</t>
  </si>
  <si>
    <t xml:space="preserve">Materials on PO-005 due Apr 14</t>
  </si>
  <si>
    <t xml:space="preserve">Vendor Sourcing &amp; Purchase Orders</t>
  </si>
  <si>
    <t xml:space="preserve">Supplier management, PO tracking, landed costs</t>
  </si>
  <si>
    <t xml:space="preserve">PO Number</t>
  </si>
  <si>
    <t xml:space="preserve">PO Date</t>
  </si>
  <si>
    <t xml:space="preserve">Vendor Name</t>
  </si>
  <si>
    <t xml:space="preserve">Vendor Contact</t>
  </si>
  <si>
    <t xml:space="preserve">Vendor Email</t>
  </si>
  <si>
    <t xml:space="preserve">Item SKU</t>
  </si>
  <si>
    <t xml:space="preserve">Item Description</t>
  </si>
  <si>
    <t xml:space="preserve">Qty Ordered</t>
  </si>
  <si>
    <t xml:space="preserve">Total Cost</t>
  </si>
  <si>
    <t xml:space="preserve">PO Status</t>
  </si>
  <si>
    <t xml:space="preserve">Expected Delivery</t>
  </si>
  <si>
    <t xml:space="preserve">Actual Delivery</t>
  </si>
  <si>
    <t xml:space="preserve">Payment Terms</t>
  </si>
  <si>
    <t xml:space="preserve">Freight Cost</t>
  </si>
  <si>
    <t xml:space="preserve">Landed Cost/Unit</t>
  </si>
  <si>
    <t xml:space="preserve">Quality Rating</t>
  </si>
  <si>
    <t xml:space="preserve">Qty Received</t>
  </si>
  <si>
    <t xml:space="preserve">Receipt Variance</t>
  </si>
  <si>
    <t xml:space="preserve">Days Overdue</t>
  </si>
  <si>
    <t xml:space="preserve">PO-001</t>
  </si>
  <si>
    <t xml:space="preserve">2026-04-01</t>
  </si>
  <si>
    <t xml:space="preserve">ShenZhen Electronics Co</t>
  </si>
  <si>
    <t xml:space="preserve">Li Wei</t>
  </si>
  <si>
    <t xml:space="preserve">li@szelectronics.cn</t>
  </si>
  <si>
    <t xml:space="preserve">VH-100-PCB</t>
  </si>
  <si>
    <t xml:space="preserve">Smart Hub PCB Assembly</t>
  </si>
  <si>
    <t xml:space="preserve">Received</t>
  </si>
  <si>
    <t xml:space="preserve">Net 30</t>
  </si>
  <si>
    <t xml:space="preserve">Quality consistent</t>
  </si>
  <si>
    <t xml:space="preserve">PO-002</t>
  </si>
  <si>
    <t xml:space="preserve">2026-04-02</t>
  </si>
  <si>
    <t xml:space="preserve">OptiLens Taiwan</t>
  </si>
  <si>
    <t xml:space="preserve">Chen Yu</t>
  </si>
  <si>
    <t xml:space="preserve">chen@optilens.tw</t>
  </si>
  <si>
    <t xml:space="preserve">VH-300-LENS</t>
  </si>
  <si>
    <t xml:space="preserve">Camera Lens Module</t>
  </si>
  <si>
    <t xml:space="preserve">In Transit</t>
  </si>
  <si>
    <t xml:space="preserve">Net 45</t>
  </si>
  <si>
    <t xml:space="preserve">PO-003</t>
  </si>
  <si>
    <t xml:space="preserve">2026-04-03</t>
  </si>
  <si>
    <t xml:space="preserve">Canadian Plastics Inc</t>
  </si>
  <si>
    <t xml:space="preserve">Marie Dupont</t>
  </si>
  <si>
    <t xml:space="preserve">marie@canplastics.ca</t>
  </si>
  <si>
    <t xml:space="preserve">VH-ENC-01</t>
  </si>
  <si>
    <t xml:space="preserve">Device Enclosures (assorted)</t>
  </si>
  <si>
    <t xml:space="preserve">2026-04-20</t>
  </si>
  <si>
    <t xml:space="preserve">Local supplier</t>
  </si>
  <si>
    <t xml:space="preserve">PO-004</t>
  </si>
  <si>
    <t xml:space="preserve">BatteryWorld Ltd</t>
  </si>
  <si>
    <t xml:space="preserve">James Park</t>
  </si>
  <si>
    <t xml:space="preserve">james@battworld.com</t>
  </si>
  <si>
    <t xml:space="preserve">VH-BAT-LI</t>
  </si>
  <si>
    <t xml:space="preserve">Li-Ion Battery Pack 3.7V</t>
  </si>
  <si>
    <t xml:space="preserve">New supplier, trial order</t>
  </si>
  <si>
    <t xml:space="preserve">PO-005</t>
  </si>
  <si>
    <t xml:space="preserve">ThermoComp GmbH</t>
  </si>
  <si>
    <t xml:space="preserve">Klaus Müller</t>
  </si>
  <si>
    <t xml:space="preserve">klaus@thermocomp.de</t>
  </si>
  <si>
    <t xml:space="preserve">VH-500-CTRL</t>
  </si>
  <si>
    <t xml:space="preserve">Thermostat Controller Board</t>
  </si>
  <si>
    <t xml:space="preserve">EUR</t>
  </si>
  <si>
    <t xml:space="preserve">2026-04-21</t>
  </si>
  <si>
    <t xml:space="preserve">Net 60</t>
  </si>
  <si>
    <t xml:space="preserve">Premium supplier for MO-004</t>
  </si>
  <si>
    <t xml:space="preserve">Bill of Materials (BOM) Management</t>
  </si>
  <si>
    <t xml:space="preserve">Multi-level BOMs with cost rollups and version control</t>
  </si>
  <si>
    <t xml:space="preserve">BOM ID</t>
  </si>
  <si>
    <t xml:space="preserve">Level</t>
  </si>
  <si>
    <t xml:space="preserve">Component SKU</t>
  </si>
  <si>
    <t xml:space="preserve">Component Name</t>
  </si>
  <si>
    <t xml:space="preserve">Qty Per Unit</t>
  </si>
  <si>
    <t xml:space="preserve">Unit of Measure</t>
  </si>
  <si>
    <t xml:space="preserve">Component Cost</t>
  </si>
  <si>
    <t xml:space="preserve">Extended Cost</t>
  </si>
  <si>
    <t xml:space="preserve">Supplier</t>
  </si>
  <si>
    <t xml:space="preserve">Wastage %</t>
  </si>
  <si>
    <t xml:space="preserve">Effective Date</t>
  </si>
  <si>
    <t xml:space="preserve">Parent Assembly</t>
  </si>
  <si>
    <t xml:space="preserve">Adjusted Qty (w/ Waste)</t>
  </si>
  <si>
    <t xml:space="preserve">BOM-001</t>
  </si>
  <si>
    <t xml:space="preserve">—</t>
  </si>
  <si>
    <t xml:space="preserve">— FINISHED GOOD —</t>
  </si>
  <si>
    <t xml:space="preserve">EA</t>
  </si>
  <si>
    <t xml:space="preserve">2026-03-01</t>
  </si>
  <si>
    <t xml:space="preserve">Active</t>
  </si>
  <si>
    <t xml:space="preserve">Main product BOM</t>
  </si>
  <si>
    <t xml:space="preserve">ShenZhen Electronics</t>
  </si>
  <si>
    <t xml:space="preserve">Device Enclosure</t>
  </si>
  <si>
    <t xml:space="preserve">Canadian Plastics</t>
  </si>
  <si>
    <t xml:space="preserve">Li-Ion Battery Pack</t>
  </si>
  <si>
    <t xml:space="preserve">BatteryWorld</t>
  </si>
  <si>
    <t xml:space="preserve">VH-ANT-WIFI</t>
  </si>
  <si>
    <t xml:space="preserve">WiFi Antenna Module</t>
  </si>
  <si>
    <t xml:space="preserve">VH-PWR-USB</t>
  </si>
  <si>
    <t xml:space="preserve">USB-C Power Supply</t>
  </si>
  <si>
    <t xml:space="preserve">VH-LBL-100</t>
  </si>
  <si>
    <t xml:space="preserve">Product Label &amp; Packaging</t>
  </si>
  <si>
    <t xml:space="preserve">BOM-002</t>
  </si>
  <si>
    <t xml:space="preserve">VH-300-PCB</t>
  </si>
  <si>
    <t xml:space="preserve">Camera PCB Assembly</t>
  </si>
  <si>
    <t xml:space="preserve">VH-ENC-03</t>
  </si>
  <si>
    <t xml:space="preserve">Camera Enclosure (weatherproof)</t>
  </si>
  <si>
    <t xml:space="preserve">VH-IR-LED</t>
  </si>
  <si>
    <t xml:space="preserve">IR LED Array (night vision)</t>
  </si>
  <si>
    <t xml:space="preserve">Serial Number Tracker</t>
  </si>
  <si>
    <t xml:space="preserve">Full traceability: serial → customer → batch → warranty → support tickets</t>
  </si>
  <si>
    <t xml:space="preserve">Serial Number</t>
  </si>
  <si>
    <t xml:space="preserve">Batch/Lot</t>
  </si>
  <si>
    <t xml:space="preserve">Manufacture Date</t>
  </si>
  <si>
    <t xml:space="preserve">Ship Date</t>
  </si>
  <si>
    <t xml:space="preserve">Customer Phone</t>
  </si>
  <si>
    <t xml:space="preserve">Destination</t>
  </si>
  <si>
    <t xml:space="preserve">Carrier</t>
  </si>
  <si>
    <t xml:space="preserve">Shipment ID</t>
  </si>
  <si>
    <t xml:space="preserve">HubSpot Ticket</t>
  </si>
  <si>
    <t xml:space="preserve">Warranty Expiry</t>
  </si>
  <si>
    <t xml:space="preserve">LL01-00000000005</t>
  </si>
  <si>
    <t xml:space="preserve">P50N</t>
  </si>
  <si>
    <t xml:space="preserve">Mary Oskamp</t>
  </si>
  <si>
    <t xml:space="preserve">905-536-6985</t>
  </si>
  <si>
    <t xml:space="preserve">12 Pulla Street, Trenton, ON, K8V 5P7</t>
  </si>
  <si>
    <t xml:space="preserve">Canpar</t>
  </si>
  <si>
    <t xml:space="preserve">D420352470002041843001</t>
  </si>
  <si>
    <t xml:space="preserve">SHP-CA-038</t>
  </si>
  <si>
    <t xml:space="preserve">LL01-00000000045</t>
  </si>
  <si>
    <t xml:space="preserve">2026-01-30</t>
  </si>
  <si>
    <t xml:space="preserve">Jason Kemp</t>
  </si>
  <si>
    <t xml:space="preserve">613-791-7734</t>
  </si>
  <si>
    <t xml:space="preserve">2401 Shanna Rd, Carp, ON, K0A 1L0</t>
  </si>
  <si>
    <t xml:space="preserve">D556276790000029076001</t>
  </si>
  <si>
    <t xml:space="preserve">SHP-CA-002</t>
  </si>
  <si>
    <t xml:space="preserve">LL01-00000000109</t>
  </si>
  <si>
    <t xml:space="preserve">P100</t>
  </si>
  <si>
    <t xml:space="preserve">Joan Teichroeb</t>
  </si>
  <si>
    <t xml:space="preserve">250-961-8667</t>
  </si>
  <si>
    <t xml:space="preserve">395 Redfern Dr, Vanderhoof, BC, V0J 3A2</t>
  </si>
  <si>
    <t xml:space="preserve">D556276790000042526001</t>
  </si>
  <si>
    <t xml:space="preserve">SHP-CA-025</t>
  </si>
  <si>
    <t xml:space="preserve">HS-0044</t>
  </si>
  <si>
    <t xml:space="preserve">LL01-00000000122</t>
  </si>
  <si>
    <t xml:space="preserve">780-952-9739</t>
  </si>
  <si>
    <t xml:space="preserve">5601 56a St, Beaumont, AB, T4X 1A7</t>
  </si>
  <si>
    <t xml:space="preserve">SHP-CA-023</t>
  </si>
  <si>
    <t xml:space="preserve">LL01-00000000126</t>
  </si>
  <si>
    <t xml:space="preserve">2026-02-17</t>
  </si>
  <si>
    <t xml:space="preserve">Vicki Myhre</t>
  </si>
  <si>
    <t xml:space="preserve">403-901-9472</t>
  </si>
  <si>
    <t xml:space="preserve">115 Hillview Rd, Strathmore, AB, T1P 1W2</t>
  </si>
  <si>
    <t xml:space="preserve">D556276790000032996001</t>
  </si>
  <si>
    <t xml:space="preserve">SHP-CA-004</t>
  </si>
  <si>
    <t xml:space="preserve">LL01-00000000142</t>
  </si>
  <si>
    <t xml:space="preserve">2026-03-20</t>
  </si>
  <si>
    <t xml:space="preserve">807-630-7618</t>
  </si>
  <si>
    <t xml:space="preserve">147 Mud Lake Road, Murillo, ON, P0T 2G0</t>
  </si>
  <si>
    <t xml:space="preserve">SHP-CA-028</t>
  </si>
  <si>
    <t xml:space="preserve">LL01-00000000144</t>
  </si>
  <si>
    <t xml:space="preserve">514-777-8247</t>
  </si>
  <si>
    <t xml:space="preserve">4367 Pl. Joseph-Lenoir, Saint-Laurent, QC, H4R 3C3</t>
  </si>
  <si>
    <t xml:space="preserve">SHP-CA-024</t>
  </si>
  <si>
    <t xml:space="preserve">HS-0064</t>
  </si>
  <si>
    <t xml:space="preserve">LL01-00000000145</t>
  </si>
  <si>
    <t xml:space="preserve">2026-01-29</t>
  </si>
  <si>
    <t xml:space="preserve">Amanda McCordic</t>
  </si>
  <si>
    <t xml:space="preserve">506-478-4711</t>
  </si>
  <si>
    <t xml:space="preserve">16 Johnstone Ln, Charters Settlement, NB, E3C 0E3</t>
  </si>
  <si>
    <t xml:space="preserve">UPS</t>
  </si>
  <si>
    <t xml:space="preserve">1ZV56D26DK27263612</t>
  </si>
  <si>
    <t xml:space="preserve">SHP-CA-001</t>
  </si>
  <si>
    <t xml:space="preserve">HS-0045</t>
  </si>
  <si>
    <t xml:space="preserve">LL01-00000000201</t>
  </si>
  <si>
    <t xml:space="preserve">P150</t>
  </si>
  <si>
    <t xml:space="preserve">250-278-6788</t>
  </si>
  <si>
    <t xml:space="preserve">2021 Hwy 3, Fernie, BC, V0B 1M1</t>
  </si>
  <si>
    <t xml:space="preserve">SHP-CA-022</t>
  </si>
  <si>
    <t xml:space="preserve">LL01-00000000202</t>
  </si>
  <si>
    <t xml:space="preserve">2026-03-03</t>
  </si>
  <si>
    <t xml:space="preserve">Kaiti Klucas</t>
  </si>
  <si>
    <t xml:space="preserve">570-419-8076</t>
  </si>
  <si>
    <t xml:space="preserve">8634 Union Ridge Dr, Hokah, MN, 55941</t>
  </si>
  <si>
    <t xml:space="preserve">1ZV56D26DK00652359</t>
  </si>
  <si>
    <t xml:space="preserve">SHP-US-043</t>
  </si>
  <si>
    <t xml:space="preserve">LL01-00000000203</t>
  </si>
  <si>
    <t xml:space="preserve">Audrey Balanay-St John</t>
  </si>
  <si>
    <t xml:space="preserve">904-208-0720</t>
  </si>
  <si>
    <t xml:space="preserve">140 Lakes Blvd, Kingsland, GA, 31548</t>
  </si>
  <si>
    <t xml:space="preserve">SHP-US-062</t>
  </si>
  <si>
    <t xml:space="preserve">LL01-00000000205</t>
  </si>
  <si>
    <t xml:space="preserve">2026-03-10</t>
  </si>
  <si>
    <t xml:space="preserve">251-348-6873</t>
  </si>
  <si>
    <t xml:space="preserve">4150 Shan Dr E, Mobile, AL, 36693</t>
  </si>
  <si>
    <t xml:space="preserve">SHP-US-047</t>
  </si>
  <si>
    <t xml:space="preserve">HS-0076</t>
  </si>
  <si>
    <t xml:space="preserve">LL01-00000000207</t>
  </si>
  <si>
    <t xml:space="preserve">Esmeralda Burgess</t>
  </si>
  <si>
    <t xml:space="preserve">443-820-5971</t>
  </si>
  <si>
    <t xml:space="preserve">3264 Wendlyn Way, Edgewater, MD, 21037</t>
  </si>
  <si>
    <t xml:space="preserve">1ZV56D26DK22305246</t>
  </si>
  <si>
    <t xml:space="preserve">SHP-US-046</t>
  </si>
  <si>
    <t xml:space="preserve">LL01-00000000210</t>
  </si>
  <si>
    <t xml:space="preserve">2026-03-12</t>
  </si>
  <si>
    <t xml:space="preserve">814-688-7182</t>
  </si>
  <si>
    <t xml:space="preserve">6284 Smith Rd, Hamburg, NY, 14075</t>
  </si>
  <si>
    <t xml:space="preserve">SHP-US-055</t>
  </si>
  <si>
    <t xml:space="preserve">LL01-00000000211</t>
  </si>
  <si>
    <t xml:space="preserve">Keith Taitano</t>
  </si>
  <si>
    <t xml:space="preserve">808-699-0587</t>
  </si>
  <si>
    <t xml:space="preserve">84-781 Alahele St, Waianae, HI, 96792</t>
  </si>
  <si>
    <t xml:space="preserve">1ZV56D26DG25936156</t>
  </si>
  <si>
    <t xml:space="preserve">SHP-US-045</t>
  </si>
  <si>
    <t xml:space="preserve">LL01-00000000212</t>
  </si>
  <si>
    <t xml:space="preserve">Anthony Kurt</t>
  </si>
  <si>
    <t xml:space="preserve">313-502-3452</t>
  </si>
  <si>
    <t xml:space="preserve">18303 Muirland St, Detroit, MI, 48221</t>
  </si>
  <si>
    <t xml:space="preserve">SHP-US-048</t>
  </si>
  <si>
    <t xml:space="preserve">HS-0075</t>
  </si>
  <si>
    <t xml:space="preserve">LL01-00000000215</t>
  </si>
  <si>
    <t xml:space="preserve">Heather Hall</t>
  </si>
  <si>
    <t xml:space="preserve">775-297-3381</t>
  </si>
  <si>
    <t xml:space="preserve">2775 Oak Ridge Dr, Carson City, NV, 89703</t>
  </si>
  <si>
    <t xml:space="preserve">1ZV56D26DK34720248</t>
  </si>
  <si>
    <t xml:space="preserve">SHP-US-051</t>
  </si>
  <si>
    <t xml:space="preserve">LL01-00000000216</t>
  </si>
  <si>
    <t xml:space="preserve">831-760-0031</t>
  </si>
  <si>
    <t xml:space="preserve">1261 Soto St, Seaside, CA, 93955</t>
  </si>
  <si>
    <t xml:space="preserve">SHP-US-061</t>
  </si>
  <si>
    <t xml:space="preserve">LL01-00000000217</t>
  </si>
  <si>
    <t xml:space="preserve">713-819-8539</t>
  </si>
  <si>
    <t xml:space="preserve">13431 Raven Flight Dr, Cypress, TX, 77429</t>
  </si>
  <si>
    <t xml:space="preserve">SHP-US-068</t>
  </si>
  <si>
    <t xml:space="preserve">LL01-00000000218</t>
  </si>
  <si>
    <t xml:space="preserve">678-997-7421</t>
  </si>
  <si>
    <t xml:space="preserve">5528 Ridgemoor Dr, Braselton, GA, 30517</t>
  </si>
  <si>
    <t xml:space="preserve">SHP-US-060</t>
  </si>
  <si>
    <t xml:space="preserve">LL01-00000000219</t>
  </si>
  <si>
    <t xml:space="preserve">Thomi Clinton</t>
  </si>
  <si>
    <t xml:space="preserve">760-218-4326</t>
  </si>
  <si>
    <t xml:space="preserve">16431 Avenida Ramada, Desert Hot Springs, CA, 92240</t>
  </si>
  <si>
    <t xml:space="preserve">1ZV56D26DK37424349</t>
  </si>
  <si>
    <t xml:space="preserve">SHP-US-053</t>
  </si>
  <si>
    <t xml:space="preserve">LL01-00000000221</t>
  </si>
  <si>
    <t xml:space="preserve">850-696-3184</t>
  </si>
  <si>
    <t xml:space="preserve">4871 Randee Cir, Pensacola, FL, 32526</t>
  </si>
  <si>
    <t xml:space="preserve">SHP-US-056</t>
  </si>
  <si>
    <t xml:space="preserve">LL01-00000000223</t>
  </si>
  <si>
    <t xml:space="preserve">Sandra Colligan</t>
  </si>
  <si>
    <t xml:space="preserve">508-380-3307</t>
  </si>
  <si>
    <t xml:space="preserve">3 Atwood St, Southborough, MA, 01772</t>
  </si>
  <si>
    <t xml:space="preserve">1ZV56D26DK10390006</t>
  </si>
  <si>
    <t xml:space="preserve">SHP-US-050</t>
  </si>
  <si>
    <t xml:space="preserve">LL01-00000000224</t>
  </si>
  <si>
    <t xml:space="preserve">847-917-9141</t>
  </si>
  <si>
    <t xml:space="preserve">1084 Ironwood Ct, Glenview, IL, 60025</t>
  </si>
  <si>
    <t xml:space="preserve">SHP-US-058</t>
  </si>
  <si>
    <t xml:space="preserve">LL01-00000000227</t>
  </si>
  <si>
    <t xml:space="preserve">Kristi Blue</t>
  </si>
  <si>
    <t xml:space="preserve">270-316-0404</t>
  </si>
  <si>
    <t xml:space="preserve">2965 Cr-1506J, Owensboro, KY, 42303</t>
  </si>
  <si>
    <t xml:space="preserve">1ZV56D26DK06425441</t>
  </si>
  <si>
    <t xml:space="preserve">SHP-US-044</t>
  </si>
  <si>
    <t xml:space="preserve">LL01-00000000228</t>
  </si>
  <si>
    <t xml:space="preserve">Rodney Richards</t>
  </si>
  <si>
    <t xml:space="preserve">816-456-8317</t>
  </si>
  <si>
    <t xml:space="preserve">1207 Spruce Dr, Greenwood, MO, 64034</t>
  </si>
  <si>
    <t xml:space="preserve">1ZV56D26DK34362984</t>
  </si>
  <si>
    <t xml:space="preserve">SHP-US-040</t>
  </si>
  <si>
    <t xml:space="preserve">LL01-00000000229</t>
  </si>
  <si>
    <t xml:space="preserve">304-257-7716</t>
  </si>
  <si>
    <t xml:space="preserve">2365 Cunningham Ln, Moorefield, WV, 26836</t>
  </si>
  <si>
    <t xml:space="preserve">SHP-US-059</t>
  </si>
  <si>
    <t xml:space="preserve">LL01-00000000230</t>
  </si>
  <si>
    <t xml:space="preserve">Peter Lupachino</t>
  </si>
  <si>
    <t xml:space="preserve">203-228-3873</t>
  </si>
  <si>
    <t xml:space="preserve">1451 Guernseytown Rd, Watertown, CT, 06795</t>
  </si>
  <si>
    <t xml:space="preserve">1ZV56D26DK37979134</t>
  </si>
  <si>
    <t xml:space="preserve">SHP-US-052</t>
  </si>
  <si>
    <t xml:space="preserve">LL01-00000000231</t>
  </si>
  <si>
    <t xml:space="preserve">Frank Nikolaidis</t>
  </si>
  <si>
    <t xml:space="preserve">330-705-0764</t>
  </si>
  <si>
    <t xml:space="preserve">10202 Ruffian Ln, Berlin, MD, 21811</t>
  </si>
  <si>
    <t xml:space="preserve">1ZV56D26DK38341918</t>
  </si>
  <si>
    <t xml:space="preserve">SHP-US-049</t>
  </si>
  <si>
    <t xml:space="preserve">LL01-00000000232</t>
  </si>
  <si>
    <t xml:space="preserve">605-660-7298</t>
  </si>
  <si>
    <t xml:space="preserve">2809 Deer Blvd, Yankton, SD, 57078</t>
  </si>
  <si>
    <t xml:space="preserve">SHP-US-066</t>
  </si>
  <si>
    <t xml:space="preserve">HS-0077</t>
  </si>
  <si>
    <t xml:space="preserve">LL01-00000000233</t>
  </si>
  <si>
    <t xml:space="preserve">Jeffrey Van Dyke</t>
  </si>
  <si>
    <t xml:space="preserve">971-344-2438</t>
  </si>
  <si>
    <t xml:space="preserve">731 E Twin Palms Dr, Palm Springs, CA, 92264</t>
  </si>
  <si>
    <t xml:space="preserve">1ZV56D26DK36986995</t>
  </si>
  <si>
    <t xml:space="preserve">SHP-US-041</t>
  </si>
  <si>
    <t xml:space="preserve">HS-0072</t>
  </si>
  <si>
    <t xml:space="preserve">LL01-00000000234</t>
  </si>
  <si>
    <t xml:space="preserve">443-618-1651</t>
  </si>
  <si>
    <t xml:space="preserve">4120 Hidden Creek Rd, Port Republic, MD, 20676</t>
  </si>
  <si>
    <t xml:space="preserve">SHP-US-065</t>
  </si>
  <si>
    <t xml:space="preserve">LL01-00000000235</t>
  </si>
  <si>
    <t xml:space="preserve">703-534-6858</t>
  </si>
  <si>
    <t xml:space="preserve">2605 N Jefferson St, Arlington, VA 22207-1415</t>
  </si>
  <si>
    <t xml:space="preserve">SHP-US-057</t>
  </si>
  <si>
    <t xml:space="preserve">LL01-00000000236</t>
  </si>
  <si>
    <t xml:space="preserve">Amila Smith</t>
  </si>
  <si>
    <t xml:space="preserve">229-412-8866</t>
  </si>
  <si>
    <t xml:space="preserve">174 Boyette Rd, Lakeland, GA, 31635</t>
  </si>
  <si>
    <t xml:space="preserve">1ZV56D26DK12089222</t>
  </si>
  <si>
    <t xml:space="preserve">SHP-US-042</t>
  </si>
  <si>
    <t xml:space="preserve">LL01-00000000238</t>
  </si>
  <si>
    <t xml:space="preserve">Jefy Chacko</t>
  </si>
  <si>
    <t xml:space="preserve">763-670-3926</t>
  </si>
  <si>
    <t xml:space="preserve">258 Newtown Turnpike, Wilton, CT, 06897</t>
  </si>
  <si>
    <t xml:space="preserve">1ZV56D26DK39171458</t>
  </si>
  <si>
    <t xml:space="preserve">SHP-US-054</t>
  </si>
  <si>
    <t xml:space="preserve">HS-0070</t>
  </si>
  <si>
    <t xml:space="preserve">LL01-00000000239</t>
  </si>
  <si>
    <t xml:space="preserve">D420352470001836731001</t>
  </si>
  <si>
    <t xml:space="preserve">SHP-CA-005</t>
  </si>
  <si>
    <t xml:space="preserve">LL01-00000000243</t>
  </si>
  <si>
    <t xml:space="preserve">864-415-1243</t>
  </si>
  <si>
    <t xml:space="preserve">910 Angel Trace Ct, Inman, SC, 29349</t>
  </si>
  <si>
    <t xml:space="preserve">SHP-US-063</t>
  </si>
  <si>
    <t xml:space="preserve">LL01-00000000244</t>
  </si>
  <si>
    <t xml:space="preserve">Teresa Just</t>
  </si>
  <si>
    <t xml:space="preserve">801-425-8250</t>
  </si>
  <si>
    <t xml:space="preserve">1193 N 1950 E, Layton, UT, 84040</t>
  </si>
  <si>
    <t xml:space="preserve">1ZV56D26DK07619589</t>
  </si>
  <si>
    <t xml:space="preserve">SHP-US-039</t>
  </si>
  <si>
    <t xml:space="preserve">LL01-00000000245</t>
  </si>
  <si>
    <t xml:space="preserve">973-224-9459</t>
  </si>
  <si>
    <t xml:space="preserve">88 Spring Valley Rd, Hardwick Township, NJ, 07825</t>
  </si>
  <si>
    <t xml:space="preserve">SHP-US-067</t>
  </si>
  <si>
    <t xml:space="preserve">(pending)</t>
  </si>
  <si>
    <t xml:space="preserve">Purolator</t>
  </si>
  <si>
    <t xml:space="preserve">520331991965</t>
  </si>
  <si>
    <t xml:space="preserve">SHP-CA-003</t>
  </si>
  <si>
    <t xml:space="preserve">Tien Tran</t>
  </si>
  <si>
    <t xml:space="preserve">SHP-CA-009</t>
  </si>
  <si>
    <t xml:space="preserve">Pending</t>
  </si>
  <si>
    <t xml:space="preserve">HS-0067</t>
  </si>
  <si>
    <t xml:space="preserve">SHP-CA-010</t>
  </si>
  <si>
    <t xml:space="preserve">HS-0048</t>
  </si>
  <si>
    <t xml:space="preserve">Michael Madigan</t>
  </si>
  <si>
    <t xml:space="preserve">SHP-CA-012</t>
  </si>
  <si>
    <t xml:space="preserve">HS-0049</t>
  </si>
  <si>
    <t xml:space="preserve">Chris &amp; Renata Grant</t>
  </si>
  <si>
    <t xml:space="preserve">SHP-CA-016</t>
  </si>
  <si>
    <t xml:space="preserve">HS-0043</t>
  </si>
  <si>
    <t xml:space="preserve">Tamara Martin</t>
  </si>
  <si>
    <t xml:space="preserve">SHP-CA-017</t>
  </si>
  <si>
    <t xml:space="preserve">HS-0046</t>
  </si>
  <si>
    <t xml:space="preserve">Candace Chan</t>
  </si>
  <si>
    <t xml:space="preserve">SHP-CA-018</t>
  </si>
  <si>
    <t xml:space="preserve">HS-0042</t>
  </si>
  <si>
    <t xml:space="preserve">Zhenghe Zhang</t>
  </si>
  <si>
    <t xml:space="preserve">SHP-CA-019</t>
  </si>
  <si>
    <t xml:space="preserve">HS-0060</t>
  </si>
  <si>
    <t xml:space="preserve">Kevin Cheng</t>
  </si>
  <si>
    <t xml:space="preserve">SHP-CA-020</t>
  </si>
  <si>
    <t xml:space="preserve">HS-0071</t>
  </si>
  <si>
    <t xml:space="preserve">604-250-7085</t>
  </si>
  <si>
    <t xml:space="preserve">135 Hardy Ave (Box 235), Sointula, BC, V0N3E0</t>
  </si>
  <si>
    <t xml:space="preserve">SHP-CA-027</t>
  </si>
  <si>
    <t xml:space="preserve">604-329-2421</t>
  </si>
  <si>
    <t xml:space="preserve">4506 Grizzly Hill Rd., Spallumcheen, BC V4Y 0M1</t>
  </si>
  <si>
    <t xml:space="preserve">SHP-CA-029</t>
  </si>
  <si>
    <t xml:space="preserve">Jenifer Henry</t>
  </si>
  <si>
    <t xml:space="preserve">403-804-1573</t>
  </si>
  <si>
    <t xml:space="preserve">304 8 Ave, Gleichen, AB, T0J 1N0</t>
  </si>
  <si>
    <t xml:space="preserve">D420352470001987399001</t>
  </si>
  <si>
    <t xml:space="preserve">SHP-CA-031</t>
  </si>
  <si>
    <t xml:space="preserve">HS-0057</t>
  </si>
  <si>
    <t xml:space="preserve">Angeline Purcell</t>
  </si>
  <si>
    <t xml:space="preserve">506-523-7006</t>
  </si>
  <si>
    <t xml:space="preserve">499 Main St, Elsipogtog First Nation, NB, E4W 2X5</t>
  </si>
  <si>
    <t xml:space="preserve">D420352470001982720001</t>
  </si>
  <si>
    <t xml:space="preserve">SHP-CA-032</t>
  </si>
  <si>
    <t xml:space="preserve">HS-0066</t>
  </si>
  <si>
    <t xml:space="preserve">SHP-CA-033</t>
  </si>
  <si>
    <t xml:space="preserve">Karolina Chmiel</t>
  </si>
  <si>
    <t xml:space="preserve">SHP-CA-037</t>
  </si>
  <si>
    <t xml:space="preserve">HS-0073</t>
  </si>
  <si>
    <t xml:space="preserve">Shipping &amp; Tracking (Freightcom)</t>
  </si>
  <si>
    <t xml:space="preserve">Rate quotes, label gen, real-time tracking via Freightcom API</t>
  </si>
  <si>
    <t xml:space="preserve">Service Level</t>
  </si>
  <si>
    <t xml:space="preserve">Origin</t>
  </si>
  <si>
    <t xml:space="preserve">Weight (kg)</t>
  </si>
  <si>
    <t xml:space="preserve">Dimensions (LxWxH cm)</t>
  </si>
  <si>
    <t xml:space="preserve">Freightcom Quote ID</t>
  </si>
  <si>
    <t xml:space="preserve">Quoted Rate</t>
  </si>
  <si>
    <t xml:space="preserve">Actual Cost</t>
  </si>
  <si>
    <t xml:space="preserve">Est Delivery Date</t>
  </si>
  <si>
    <t xml:space="preserve">Actual Delivery Date</t>
  </si>
  <si>
    <t xml:space="preserve">Recipient Name</t>
  </si>
  <si>
    <t xml:space="preserve">Recipient Phone</t>
  </si>
  <si>
    <t xml:space="preserve">Delivery Signature</t>
  </si>
  <si>
    <t xml:space="preserve">UPS Standard</t>
  </si>
  <si>
    <t xml:space="preserve">VirgoHome HQ, Toronto, ON, Canada</t>
  </si>
  <si>
    <t xml:space="preserve">2026-02-04</t>
  </si>
  <si>
    <t xml:space="preserve">Serial: LL01-00000000145 | HS-0045 | Shipping damage: pin broke, tray shattered; replacement top lid sent</t>
  </si>
  <si>
    <t xml:space="preserve">2026-02-05</t>
  </si>
  <si>
    <t xml:space="preserve">Serial: LL01-00000000045</t>
  </si>
  <si>
    <t xml:space="preserve">Purolator Express</t>
  </si>
  <si>
    <t xml:space="preserve">Item: Top Lid | HS-0045 | Shipping damage: pin broke, tray shattered; replacement top lid sent</t>
  </si>
  <si>
    <t xml:space="preserve">Serial: LL01-00000000126</t>
  </si>
  <si>
    <t xml:space="preserve">Serial: LL01-00000000239 | HS-0044 | Electrical cord casing damaged; front/back microswitches broken; P50N replacement arranged</t>
  </si>
  <si>
    <t xml:space="preserve">SHP-CA-006</t>
  </si>
  <si>
    <t xml:space="preserve">Ellery Bunn</t>
  </si>
  <si>
    <t xml:space="preserve">SHP-CA-007</t>
  </si>
  <si>
    <t xml:space="preserve">Antonio Gonsalves</t>
  </si>
  <si>
    <t xml:space="preserve">SHP-CA-008</t>
  </si>
  <si>
    <t xml:space="preserve">Connie Beatty</t>
  </si>
  <si>
    <t xml:space="preserve">HS-0067 | Chamber replaced; main body crack, P100 needed</t>
  </si>
  <si>
    <t xml:space="preserve">HS-0048 | Machine crack (P100 replacement needed)</t>
  </si>
  <si>
    <t xml:space="preserve">SHP-CA-011</t>
  </si>
  <si>
    <t xml:space="preserve">Salvatore &amp; Julia DeCillis</t>
  </si>
  <si>
    <t xml:space="preserve">HS-0049 | Cracks on machine (P100 needed)</t>
  </si>
  <si>
    <t xml:space="preserve">SHP-CA-013</t>
  </si>
  <si>
    <t xml:space="preserve">Chad Lockhart</t>
  </si>
  <si>
    <t xml:space="preserve">SHP-CA-014</t>
  </si>
  <si>
    <t xml:space="preserve">Brian Fryer</t>
  </si>
  <si>
    <t xml:space="preserve">SHP-CA-015</t>
  </si>
  <si>
    <t xml:space="preserve">Sharon Corcoran</t>
  </si>
  <si>
    <t xml:space="preserve">HS-0043 | Major cracks on base; P100 replacement when available</t>
  </si>
  <si>
    <t xml:space="preserve">HS-0046 | Main body crack, crushing chamber crack, rusted screws (P100)</t>
  </si>
  <si>
    <t xml:space="preserve">HS-0042 | Unit has crack; P100 replacement pending</t>
  </si>
  <si>
    <t xml:space="preserve">HS-0060 | Broken chamber; home smells; needs replacement</t>
  </si>
  <si>
    <t xml:space="preserve">HS-0071 | Algo too wet + main body crack (P100 needed)</t>
  </si>
  <si>
    <t xml:space="preserve">SHP-CA-021</t>
  </si>
  <si>
    <t xml:space="preserve">Kirk Beatty</t>
  </si>
  <si>
    <t xml:space="preserve">Serial: LL01-00000000201</t>
  </si>
  <si>
    <t xml:space="preserve">Serial: LL01-00000000122</t>
  </si>
  <si>
    <t xml:space="preserve">Serial: LL01-00000000144 | HS-0064 | Extremely dry compost; connected to dashboard for monitoring</t>
  </si>
  <si>
    <t xml:space="preserve">2026-03-30</t>
  </si>
  <si>
    <t xml:space="preserve">Serial: LL01-00000000109 | P150, 3rd Replacement | HS-0044 | Electrical cord casing damaged; front/back microswitches broken; P50N replacement arranged</t>
  </si>
  <si>
    <t xml:space="preserve">SHP-CA-026</t>
  </si>
  <si>
    <t xml:space="preserve">4059 207th Street, Langley, BC, V3A 2E2</t>
  </si>
  <si>
    <t xml:space="preserve">Ron Russell</t>
  </si>
  <si>
    <t xml:space="preserve">604-834-4451</t>
  </si>
  <si>
    <t xml:space="preserve">Pending fulfillment</t>
  </si>
  <si>
    <t xml:space="preserve">HS-0075 | Pending fulfillment</t>
  </si>
  <si>
    <t xml:space="preserve">Serial: LL01-00000000142 | HS-shipped | Delivered 03/30</t>
  </si>
  <si>
    <t xml:space="preserve">Gate code: 7676# | HS-0049 | P100 replacement list</t>
  </si>
  <si>
    <t xml:space="preserve">SHP-CA-030</t>
  </si>
  <si>
    <t xml:space="preserve">MAYBE IN PERSON</t>
  </si>
  <si>
    <t xml:space="preserve">Pending - possible in-person delivery</t>
  </si>
  <si>
    <t xml:space="preserve">Item: Top Lid | HS-0057 | Rusted screws; replacement top lid shipped</t>
  </si>
  <si>
    <t xml:space="preserve">2026-03-25</t>
  </si>
  <si>
    <t xml:space="preserve">Item: Top Lid | HS-0066 | Front lid opens on its own; top lid shipped</t>
  </si>
  <si>
    <t xml:space="preserve">SHP-CA-034</t>
  </si>
  <si>
    <t xml:space="preserve">304-716 Old Sackville Rd., Lower Sackville, NS, B4C 2K3</t>
  </si>
  <si>
    <t xml:space="preserve">902-818-8352</t>
  </si>
  <si>
    <t xml:space="preserve">SHP-CA-035</t>
  </si>
  <si>
    <t xml:space="preserve">1469 Telephone Rd, Colborne, ON, K0K 1S0</t>
  </si>
  <si>
    <t xml:space="preserve">289-404-2364</t>
  </si>
  <si>
    <t xml:space="preserve">SHP-CA-036</t>
  </si>
  <si>
    <t xml:space="preserve">4 Birchlawn Avenue, Scarborough, ON, M1N 1H9</t>
  </si>
  <si>
    <t xml:space="preserve">647-775-9377</t>
  </si>
  <si>
    <t xml:space="preserve">HS-0073 | Dry compost left chamber; machine has cracks (P100 needed)</t>
  </si>
  <si>
    <t xml:space="preserve">Serial: LL01-00000000005</t>
  </si>
  <si>
    <t xml:space="preserve">UPS Standard International</t>
  </si>
  <si>
    <t xml:space="preserve">Serial: LL01-00000000244</t>
  </si>
  <si>
    <t xml:space="preserve">Serial: LL01-00000000228</t>
  </si>
  <si>
    <t xml:space="preserve">Serial: LL01-00000000233 | HS-0072 | Broken chamber (P100 fulfillment list)</t>
  </si>
  <si>
    <t xml:space="preserve">Serial: LL01-00000000236</t>
  </si>
  <si>
    <t xml:space="preserve">Serial: LL01-00000000202</t>
  </si>
  <si>
    <t xml:space="preserve">Serial: LL01-00000000227</t>
  </si>
  <si>
    <t xml:space="preserve">Serial: LL01-00000000211</t>
  </si>
  <si>
    <t xml:space="preserve">Serial: LL01-00000000207</t>
  </si>
  <si>
    <t xml:space="preserve">Serial: LL01-00000000205 | HS-0076 | Machine flashing, lid alignment issue</t>
  </si>
  <si>
    <t xml:space="preserve">Serial: LL01-00000000212 | HS-0075 | Top lid cracked, latch broken</t>
  </si>
  <si>
    <t xml:space="preserve">Serial: LL01-00000000231</t>
  </si>
  <si>
    <t xml:space="preserve">Serial: LL01-00000000223</t>
  </si>
  <si>
    <t xml:space="preserve">Serial: LL01-00000000215</t>
  </si>
  <si>
    <t xml:space="preserve">Serial: LL01-00000000230</t>
  </si>
  <si>
    <t xml:space="preserve">Serial: LL01-00000000219</t>
  </si>
  <si>
    <t xml:space="preserve">Serial: LL01-00000000238 | HS-0070 | Expected crusher, machine received without crusher</t>
  </si>
  <si>
    <t xml:space="preserve">Serial: LL01-00000000210</t>
  </si>
  <si>
    <t xml:space="preserve">2026-03-17</t>
  </si>
  <si>
    <t xml:space="preserve">Serial: LL01-00000000221</t>
  </si>
  <si>
    <t xml:space="preserve">Serial: LL01-00000000235</t>
  </si>
  <si>
    <t xml:space="preserve">Serial: LL01-00000000224</t>
  </si>
  <si>
    <t xml:space="preserve">Serial: LL01-00000000229</t>
  </si>
  <si>
    <t xml:space="preserve">Serial: LL01-00000000218</t>
  </si>
  <si>
    <t xml:space="preserve">Serial: LL01-00000000216</t>
  </si>
  <si>
    <t xml:space="preserve">Serial: LL01-00000000203</t>
  </si>
  <si>
    <t xml:space="preserve">Serial: LL01-00000000243</t>
  </si>
  <si>
    <t xml:space="preserve">SHP-US-064</t>
  </si>
  <si>
    <t xml:space="preserve">1ZV56D26DK15048887</t>
  </si>
  <si>
    <t xml:space="preserve">Item: filter cup module</t>
  </si>
  <si>
    <t xml:space="preserve">Serial: LL01-00000000234</t>
  </si>
  <si>
    <t xml:space="preserve">Serial: LL01-00000000232 | HS-0077 | Back lid won't close, power button flashing blue</t>
  </si>
  <si>
    <t xml:space="preserve">Serial: LL01-00000000245</t>
  </si>
  <si>
    <t xml:space="preserve">Serial: LL01-00000000217</t>
  </si>
  <si>
    <t xml:space="preserve">SHP-US-069</t>
  </si>
  <si>
    <t xml:space="preserve">1500 Sussex Turnpike, Randolph, NJ, 07869</t>
  </si>
  <si>
    <t xml:space="preserve">973-647-2939</t>
  </si>
  <si>
    <t xml:space="preserve">SHP-US-070</t>
  </si>
  <si>
    <t xml:space="preserve">1695 Saddle Creek Farms Rd, Osteen, FL, 32764</t>
  </si>
  <si>
    <t xml:space="preserve">407-417-0530</t>
  </si>
  <si>
    <t xml:space="preserve">SHP-US-071</t>
  </si>
  <si>
    <t xml:space="preserve">4021 Palo Alto Ave, Yucca Valley, CA, 92284</t>
  </si>
  <si>
    <t xml:space="preserve">760-799-9286</t>
  </si>
  <si>
    <t xml:space="preserve">SHP-US-072</t>
  </si>
  <si>
    <t xml:space="preserve">20757 Atlantic Puffin Dr, Grand Rapids, MN 55744</t>
  </si>
  <si>
    <t xml:space="preserve">218-301-4249</t>
  </si>
  <si>
    <t xml:space="preserve">SHP-US-073</t>
  </si>
  <si>
    <t xml:space="preserve">918 Maryland Dr, Vista, CA 92083</t>
  </si>
  <si>
    <t xml:space="preserve">619-916-7732</t>
  </si>
  <si>
    <t xml:space="preserve">SHP-US-074</t>
  </si>
  <si>
    <t xml:space="preserve">100 Hoag Drive, Phoenix, NY, 13135-3314</t>
  </si>
  <si>
    <t xml:space="preserve">315-956-8380</t>
  </si>
  <si>
    <t xml:space="preserve">SHP-US-075</t>
  </si>
  <si>
    <t xml:space="preserve">12827 Lake Vista Dr, Gibsonton, FL, 33534</t>
  </si>
  <si>
    <t xml:space="preserve">813-598-6409</t>
  </si>
  <si>
    <t xml:space="preserve">SHP-US-076</t>
  </si>
  <si>
    <t xml:space="preserve">500 NE Saddle Ridge Rd, Bentonville, AR, 72712</t>
  </si>
  <si>
    <t xml:space="preserve">303-919-9498</t>
  </si>
  <si>
    <t xml:space="preserve">Product Master Catalog</t>
  </si>
  <si>
    <t xml:space="preserve">Central product registry — synced to Shopify &amp; HubSpot</t>
  </si>
  <si>
    <t xml:space="preserve">Description</t>
  </si>
  <si>
    <t xml:space="preserve">Selling Price</t>
  </si>
  <si>
    <t xml:space="preserve">Unit Cost (BOM)</t>
  </si>
  <si>
    <t xml:space="preserve">Margin %</t>
  </si>
  <si>
    <t xml:space="preserve">Shopify Product ID</t>
  </si>
  <si>
    <t xml:space="preserve">HubSpot Product ID</t>
  </si>
  <si>
    <t xml:space="preserve">Last Modified</t>
  </si>
  <si>
    <t xml:space="preserve">Min Order Qty</t>
  </si>
  <si>
    <t xml:space="preserve">Primary Supplier</t>
  </si>
  <si>
    <t xml:space="preserve">Central smart home hub with WiFi, Zigbee, Z-Wave</t>
  </si>
  <si>
    <t xml:space="preserve">SH-PROD-001</t>
  </si>
  <si>
    <t xml:space="preserve">HS-PROD-001</t>
  </si>
  <si>
    <t xml:space="preserve">15x12x5</t>
  </si>
  <si>
    <t xml:space="preserve">Yes</t>
  </si>
  <si>
    <t xml:space="preserve">2025-06-01</t>
  </si>
  <si>
    <t xml:space="preserve">PIR motion sensor with temperature/humidity</t>
  </si>
  <si>
    <t xml:space="preserve">SH-PROD-002</t>
  </si>
  <si>
    <t xml:space="preserve">HS-PROD-002</t>
  </si>
  <si>
    <t xml:space="preserve">8x5x3</t>
  </si>
  <si>
    <t xml:space="preserve">2026-03-15</t>
  </si>
  <si>
    <t xml:space="preserve">1080p outdoor camera with night vision, 2-way audio</t>
  </si>
  <si>
    <t xml:space="preserve">SH-PROD-003</t>
  </si>
  <si>
    <t xml:space="preserve">HS-PROD-003</t>
  </si>
  <si>
    <t xml:space="preserve">12x10x8</t>
  </si>
  <si>
    <t xml:space="preserve">2025-08-01</t>
  </si>
  <si>
    <t xml:space="preserve">Smart deadbolt with fingerprint, keypad, app control</t>
  </si>
  <si>
    <t xml:space="preserve">SH-PROD-004</t>
  </si>
  <si>
    <t xml:space="preserve">HS-PROD-004</t>
  </si>
  <si>
    <t xml:space="preserve">20x8x6</t>
  </si>
  <si>
    <t xml:space="preserve">2025-10-01</t>
  </si>
  <si>
    <t xml:space="preserve">LockTech Shenzhen</t>
  </si>
  <si>
    <t xml:space="preserve">Smart thermostat with learning schedule, voice control</t>
  </si>
  <si>
    <t xml:space="preserve">SH-PROD-005</t>
  </si>
  <si>
    <t xml:space="preserve">HS-PROD-005</t>
  </si>
  <si>
    <t xml:space="preserve">12x12x3</t>
  </si>
  <si>
    <t xml:space="preserve">2026-01-15</t>
  </si>
  <si>
    <t xml:space="preserve">Customer Database</t>
  </si>
  <si>
    <t xml:space="preserve">Synced contacts from Shopify &amp; HubSpot</t>
  </si>
  <si>
    <t xml:space="preserve">Customer ID</t>
  </si>
  <si>
    <t xml:space="preserve">Company Name</t>
  </si>
  <si>
    <t xml:space="preserve">Contact Name</t>
  </si>
  <si>
    <t xml:space="preserve">Email</t>
  </si>
  <si>
    <t xml:space="preserve">Phone</t>
  </si>
  <si>
    <t xml:space="preserve">Billing Address</t>
  </si>
  <si>
    <t xml:space="preserve">Shipping Address</t>
  </si>
  <si>
    <t xml:space="preserve">Shopify Customer ID</t>
  </si>
  <si>
    <t xml:space="preserve">HubSpot Contact ID</t>
  </si>
  <si>
    <t xml:space="preserve">Total Orders</t>
  </si>
  <si>
    <t xml:space="preserve">Total Revenue</t>
  </si>
  <si>
    <t xml:space="preserve">Last Order Date</t>
  </si>
  <si>
    <t xml:space="preserve">CUST-001</t>
  </si>
  <si>
    <t xml:space="preserve">Seymour CT, United States</t>
  </si>
  <si>
    <t xml:space="preserve">10390086385985</t>
  </si>
  <si>
    <t xml:space="preserve">Email marketing: Not subscribed</t>
  </si>
  <si>
    <t xml:space="preserve">CUST-002</t>
  </si>
  <si>
    <t xml:space="preserve">Riverside CA, United States</t>
  </si>
  <si>
    <t xml:space="preserve">10389666300225</t>
  </si>
  <si>
    <t xml:space="preserve">Email marketing: Subscribed</t>
  </si>
  <si>
    <t xml:space="preserve">CUST-003</t>
  </si>
  <si>
    <t xml:space="preserve">Mary Granger</t>
  </si>
  <si>
    <t xml:space="preserve">oskampm@mac.com</t>
  </si>
  <si>
    <t xml:space="preserve">10375550468417</t>
  </si>
  <si>
    <t xml:space="preserve">CUST-004</t>
  </si>
  <si>
    <t xml:space="preserve">Jill jeannine</t>
  </si>
  <si>
    <t xml:space="preserve">9727853789505</t>
  </si>
  <si>
    <t xml:space="preserve">CUST-005</t>
  </si>
  <si>
    <t xml:space="preserve">CROSBY TX, United States</t>
  </si>
  <si>
    <t xml:space="preserve">10388443300161</t>
  </si>
  <si>
    <t xml:space="preserve">CUST-006</t>
  </si>
  <si>
    <t xml:space="preserve">Salt Lake City UT, United States</t>
  </si>
  <si>
    <t xml:space="preserve">10387557679425</t>
  </si>
  <si>
    <t xml:space="preserve">CUST-007</t>
  </si>
  <si>
    <t xml:space="preserve">Grant Bieker</t>
  </si>
  <si>
    <t xml:space="preserve">9823008883009</t>
  </si>
  <si>
    <t xml:space="preserve">CUST-008</t>
  </si>
  <si>
    <t xml:space="preserve">10353445568833</t>
  </si>
  <si>
    <t xml:space="preserve">CUST-009</t>
  </si>
  <si>
    <t xml:space="preserve">New Rochelle NY, United States</t>
  </si>
  <si>
    <t xml:space="preserve">10390388359489</t>
  </si>
  <si>
    <t xml:space="preserve">CUST-010</t>
  </si>
  <si>
    <t xml:space="preserve">9804208922945</t>
  </si>
  <si>
    <t xml:space="preserve">CUST-011</t>
  </si>
  <si>
    <t xml:space="preserve">Omaha NE, United States</t>
  </si>
  <si>
    <t xml:space="preserve">10367785074049</t>
  </si>
  <si>
    <t xml:space="preserve">CUST-012</t>
  </si>
  <si>
    <t xml:space="preserve">10161052082497</t>
  </si>
  <si>
    <t xml:space="preserve">CUST-013</t>
  </si>
  <si>
    <t xml:space="preserve">9881558032705</t>
  </si>
  <si>
    <t xml:space="preserve">CUST-014</t>
  </si>
  <si>
    <t xml:space="preserve">New Port Richey FL, United States</t>
  </si>
  <si>
    <t xml:space="preserve">10378940760385</t>
  </si>
  <si>
    <t xml:space="preserve">CUST-015</t>
  </si>
  <si>
    <t xml:space="preserve">Enfield NS, Canada</t>
  </si>
  <si>
    <t xml:space="preserve">10376521761089</t>
  </si>
  <si>
    <t xml:space="preserve">CUST-016</t>
  </si>
  <si>
    <t xml:space="preserve">Oshawa ON, Canada</t>
  </si>
  <si>
    <t xml:space="preserve">10376264294721</t>
  </si>
  <si>
    <t xml:space="preserve">CUST-017</t>
  </si>
  <si>
    <t xml:space="preserve">Belwood ON, Canada</t>
  </si>
  <si>
    <t xml:space="preserve">10376245256513</t>
  </si>
  <si>
    <t xml:space="preserve">CUST-018</t>
  </si>
  <si>
    <t xml:space="preserve">Kinzer PA, United States</t>
  </si>
  <si>
    <t xml:space="preserve">10374789808449</t>
  </si>
  <si>
    <t xml:space="preserve">CUST-019</t>
  </si>
  <si>
    <t xml:space="preserve">Pottstown PA, United States</t>
  </si>
  <si>
    <t xml:space="preserve">10370220163393</t>
  </si>
  <si>
    <t xml:space="preserve">CUST-020</t>
  </si>
  <si>
    <t xml:space="preserve">Rocky Mountain House AB, Canada</t>
  </si>
  <si>
    <t xml:space="preserve">10368789889345</t>
  </si>
  <si>
    <t xml:space="preserve">CUST-021</t>
  </si>
  <si>
    <t xml:space="preserve">Rosemount MN, United States</t>
  </si>
  <si>
    <t xml:space="preserve">10363985166657</t>
  </si>
  <si>
    <t xml:space="preserve">CUST-022</t>
  </si>
  <si>
    <t xml:space="preserve">Indianapolis IN, United States</t>
  </si>
  <si>
    <t xml:space="preserve">10363846811969</t>
  </si>
  <si>
    <t xml:space="preserve">CUST-023</t>
  </si>
  <si>
    <t xml:space="preserve">Youngsville PA, United States</t>
  </si>
  <si>
    <t xml:space="preserve">10360618122561</t>
  </si>
  <si>
    <t xml:space="preserve">CUST-024</t>
  </si>
  <si>
    <t xml:space="preserve">10356695408001</t>
  </si>
  <si>
    <t xml:space="preserve">CUST-025</t>
  </si>
  <si>
    <t xml:space="preserve">San Giuliano Milanese, Italy</t>
  </si>
  <si>
    <t xml:space="preserve">10353090634049</t>
  </si>
  <si>
    <t xml:space="preserve">CUST-026</t>
  </si>
  <si>
    <t xml:space="preserve">Aiken SC, United States</t>
  </si>
  <si>
    <t xml:space="preserve">10339866263873</t>
  </si>
  <si>
    <t xml:space="preserve">CUST-027</t>
  </si>
  <si>
    <t xml:space="preserve">Ajaccio, France</t>
  </si>
  <si>
    <t xml:space="preserve">10322530533697</t>
  </si>
  <si>
    <t xml:space="preserve">CUST-028</t>
  </si>
  <si>
    <t xml:space="preserve">Richmond TX, United States</t>
  </si>
  <si>
    <t xml:space="preserve">10321900544321</t>
  </si>
  <si>
    <t xml:space="preserve">CUST-029</t>
  </si>
  <si>
    <t xml:space="preserve">Gallatin TN, United States</t>
  </si>
  <si>
    <t xml:space="preserve">10316831580481</t>
  </si>
  <si>
    <t xml:space="preserve">CUST-030</t>
  </si>
  <si>
    <t xml:space="preserve">Georgetown ON, Canada</t>
  </si>
  <si>
    <t xml:space="preserve">10312826732929</t>
  </si>
  <si>
    <t xml:space="preserve">CUST-031</t>
  </si>
  <si>
    <t xml:space="preserve">Pembroke Pines FL, United States</t>
  </si>
  <si>
    <t xml:space="preserve">10309983805761</t>
  </si>
  <si>
    <t xml:space="preserve">CUST-032</t>
  </si>
  <si>
    <t xml:space="preserve">Windham ME, United States</t>
  </si>
  <si>
    <t xml:space="preserve">10309785516609</t>
  </si>
  <si>
    <t xml:space="preserve">CUST-033</t>
  </si>
  <si>
    <t xml:space="preserve">Calgary AB, Canada</t>
  </si>
  <si>
    <t xml:space="preserve">10308006429121</t>
  </si>
  <si>
    <t xml:space="preserve">CUST-034</t>
  </si>
  <si>
    <t xml:space="preserve">Murfreesboro TN, United States</t>
  </si>
  <si>
    <t xml:space="preserve">10304869064065</t>
  </si>
  <si>
    <t xml:space="preserve">CUST-035</t>
  </si>
  <si>
    <t xml:space="preserve">Barrie ON, Canada</t>
  </si>
  <si>
    <t xml:space="preserve">10304679952769</t>
  </si>
  <si>
    <t xml:space="preserve">CUST-036</t>
  </si>
  <si>
    <t xml:space="preserve">Concord NH, United States</t>
  </si>
  <si>
    <t xml:space="preserve">10301919698241</t>
  </si>
  <si>
    <t xml:space="preserve">CUST-037</t>
  </si>
  <si>
    <t xml:space="preserve">Tampa FL, United States</t>
  </si>
  <si>
    <t xml:space="preserve">10301893386625</t>
  </si>
  <si>
    <t xml:space="preserve">CUST-038</t>
  </si>
  <si>
    <t xml:space="preserve">10301876249985</t>
  </si>
  <si>
    <t xml:space="preserve">CUST-039</t>
  </si>
  <si>
    <t xml:space="preserve">Vernon BC, Canada</t>
  </si>
  <si>
    <t xml:space="preserve">10293649866113</t>
  </si>
  <si>
    <t xml:space="preserve">CUST-040</t>
  </si>
  <si>
    <t xml:space="preserve">Mississauga ON, Canada</t>
  </si>
  <si>
    <t xml:space="preserve">10289616985473</t>
  </si>
  <si>
    <t xml:space="preserve">CUST-041</t>
  </si>
  <si>
    <t xml:space="preserve">Sooke BC, Canada</t>
  </si>
  <si>
    <t xml:space="preserve">10289473249665</t>
  </si>
  <si>
    <t xml:space="preserve">CUST-042</t>
  </si>
  <si>
    <t xml:space="preserve">Burnham PA, United States</t>
  </si>
  <si>
    <t xml:space="preserve">10283994382785</t>
  </si>
  <si>
    <t xml:space="preserve">CUST-043</t>
  </si>
  <si>
    <t xml:space="preserve">Milford NH, United States</t>
  </si>
  <si>
    <t xml:space="preserve">10281018531201</t>
  </si>
  <si>
    <t xml:space="preserve">CUST-044</t>
  </si>
  <si>
    <t xml:space="preserve">Bonney Lake WA, United States</t>
  </si>
  <si>
    <t xml:space="preserve">10274694635905</t>
  </si>
  <si>
    <t xml:space="preserve">CUST-045</t>
  </si>
  <si>
    <t xml:space="preserve">10274502483393</t>
  </si>
  <si>
    <t xml:space="preserve">CUST-046</t>
  </si>
  <si>
    <t xml:space="preserve">Dade City FL, United States</t>
  </si>
  <si>
    <t xml:space="preserve">10274396299649</t>
  </si>
  <si>
    <t xml:space="preserve">CUST-047</t>
  </si>
  <si>
    <t xml:space="preserve">Montreal QC, Canada</t>
  </si>
  <si>
    <t xml:space="preserve">10274264571265</t>
  </si>
  <si>
    <t xml:space="preserve">CUST-048</t>
  </si>
  <si>
    <t xml:space="preserve">Chilliwack BC, Canada</t>
  </si>
  <si>
    <t xml:space="preserve">10272394878017</t>
  </si>
  <si>
    <t xml:space="preserve">CUST-049</t>
  </si>
  <si>
    <t xml:space="preserve">Crestwood KY, United States</t>
  </si>
  <si>
    <t xml:space="preserve">10267867553153</t>
  </si>
  <si>
    <t xml:space="preserve">CUST-050</t>
  </si>
  <si>
    <t xml:space="preserve">Janna Moore</t>
  </si>
  <si>
    <t xml:space="preserve">10267413930049</t>
  </si>
  <si>
    <t xml:space="preserve">Settings &amp; Configuration</t>
  </si>
  <si>
    <t xml:space="preserve">Dropdown lists, integration keys, warehouse locations</t>
  </si>
  <si>
    <t xml:space="preserve">Warehouse Locations</t>
  </si>
  <si>
    <t xml:space="preserve">Location Code</t>
  </si>
  <si>
    <t xml:space="preserve">Name</t>
  </si>
  <si>
    <t xml:space="preserve">Address</t>
  </si>
  <si>
    <t xml:space="preserve">Type</t>
  </si>
  <si>
    <t xml:space="preserve">Toronto Main Warehouse</t>
  </si>
  <si>
    <t xml:space="preserve">50 Industrial Blvd, Scarborough ON</t>
  </si>
  <si>
    <t xml:space="preserve">Primary</t>
  </si>
  <si>
    <t xml:space="preserve">Vancouver Distribution</t>
  </si>
  <si>
    <t xml:space="preserve">120 Port Rd, Richmond BC</t>
  </si>
  <si>
    <t xml:space="preserve">Secondary</t>
  </si>
  <si>
    <t xml:space="preserve">Calgary-01</t>
  </si>
  <si>
    <t xml:space="preserve">Calgary Fulfillment</t>
  </si>
  <si>
    <t xml:space="preserve">80 Logistics Ave, Calgary AB</t>
  </si>
  <si>
    <t xml:space="preserve">Fulfillment</t>
  </si>
  <si>
    <t xml:space="preserve">Integration Configuration</t>
  </si>
  <si>
    <t xml:space="preserve">Platform</t>
  </si>
  <si>
    <t xml:space="preserve">API Endpoint</t>
  </si>
  <si>
    <t xml:space="preserve">Sync Direction</t>
  </si>
  <si>
    <t xml:space="preserve">Sync Frequency</t>
  </si>
  <si>
    <t xml:space="preserve">https://your-store.myshopify.com/admin/api/2026-01</t>
  </si>
  <si>
    <t xml:space="preserve">Bi-directional</t>
  </si>
  <si>
    <t xml:space="preserve">Real-time (webhook)</t>
  </si>
  <si>
    <t xml:space="preserve">HubSpot</t>
  </si>
  <si>
    <t xml:space="preserve">https://api.hubapi.com/crm/v3</t>
  </si>
  <si>
    <t xml:space="preserve">HubSpot → Sheet (deals as SOs)</t>
  </si>
  <si>
    <t xml:space="preserve">Every 15 min</t>
  </si>
  <si>
    <t xml:space="preserve">Freightcom</t>
  </si>
  <si>
    <t xml:space="preserve">https://api.freightcom.com/v1</t>
  </si>
  <si>
    <t xml:space="preserve">Sheet → Freightcom (quotes, labels, tracking)</t>
  </si>
  <si>
    <t xml:space="preserve">On demand</t>
  </si>
  <si>
    <t xml:space="preserve">Freightcom Configuration</t>
  </si>
  <si>
    <t xml:space="preserve">Setting</t>
  </si>
  <si>
    <t xml:space="preserve">API Key</t>
  </si>
  <si>
    <t xml:space="preserve">(enter your Freightcom API key)</t>
  </si>
  <si>
    <t xml:space="preserve">From Freightcom dashboard &gt; Settings &gt; API</t>
  </si>
  <si>
    <t xml:space="preserve">Default Origin</t>
  </si>
  <si>
    <t xml:space="preserve">Warehouse code from Locations above</t>
  </si>
  <si>
    <t xml:space="preserve">Default Carrier Preference</t>
  </si>
  <si>
    <t xml:space="preserve">Purolator, Canada Post, UPS</t>
  </si>
  <si>
    <t xml:space="preserve">Comma-separated priority list</t>
  </si>
  <si>
    <t xml:space="preserve">Auto-Quote on SO Creation</t>
  </si>
  <si>
    <t xml:space="preserve">Automatically fetch Freightcom rates when new SO created</t>
  </si>
  <si>
    <t xml:space="preserve">Tracking Poll Interval</t>
  </si>
  <si>
    <t xml:space="preserve">1 hour</t>
  </si>
  <si>
    <t xml:space="preserve">How often to check Freightcom for tracking updates</t>
  </si>
  <si>
    <t xml:space="preserve">Label Format</t>
  </si>
  <si>
    <t xml:space="preserve">PDF 4x6</t>
  </si>
  <si>
    <t xml:space="preserve">Thermal label format for shipping</t>
  </si>
  <si>
    <t xml:space="preserve">Insurance Default</t>
  </si>
  <si>
    <t xml:space="preserve">Yes (orders &gt; $500)</t>
  </si>
  <si>
    <t xml:space="preserve">Auto-add shipping insurance for high-value orders</t>
  </si>
  <si>
    <t xml:space="preserve">Shopify Sync Rules</t>
  </si>
  <si>
    <t xml:space="preserve">Rule</t>
  </si>
  <si>
    <t xml:space="preserve">Import new orders</t>
  </si>
  <si>
    <t xml:space="preserve">Automatic</t>
  </si>
  <si>
    <t xml:space="preserve">All paid Shopify orders auto-import as SOs</t>
  </si>
  <si>
    <t xml:space="preserve">Sync fulfillment back</t>
  </si>
  <si>
    <t xml:space="preserve">On SO status = Delivered</t>
  </si>
  <si>
    <t xml:space="preserve">Updates Shopify order to Fulfilled + adds tracking</t>
  </si>
  <si>
    <t xml:space="preserve">Inventory sync</t>
  </si>
  <si>
    <t xml:space="preserve">Stock changes in either system propagate</t>
  </si>
  <si>
    <t xml:space="preserve">New product sync</t>
  </si>
  <si>
    <t xml:space="preserve">Shopify → Sheet</t>
  </si>
  <si>
    <t xml:space="preserve">New Shopify products auto-create in Products tab</t>
  </si>
  <si>
    <t xml:space="preserve">Customer sync</t>
  </si>
  <si>
    <t xml:space="preserve">New customers auto-create in Customers tab</t>
  </si>
  <si>
    <t xml:space="preserve">HubSpot Sync Rules</t>
  </si>
  <si>
    <t xml:space="preserve">Deal → SO trigger</t>
  </si>
  <si>
    <t xml:space="preserve">Deal stage = 'Closed Won'</t>
  </si>
  <si>
    <t xml:space="preserve">Only closed-won deals become SOs</t>
  </si>
  <si>
    <t xml:space="preserve">Pipeline</t>
  </si>
  <si>
    <t xml:space="preserve">Sales Pipeline (default)</t>
  </si>
  <si>
    <t xml:space="preserve">Configure which HubSpot pipeline to watch</t>
  </si>
  <si>
    <t xml:space="preserve">Contact → Customer</t>
  </si>
  <si>
    <t xml:space="preserve">Auto-create</t>
  </si>
  <si>
    <t xml:space="preserve">Deal contact auto-creates customer record</t>
  </si>
  <si>
    <t xml:space="preserve">SO status → Deal</t>
  </si>
  <si>
    <t xml:space="preserve">SO delivery status updates HubSpot deal properties</t>
  </si>
  <si>
    <t xml:space="preserve">Product sync</t>
  </si>
  <si>
    <t xml:space="preserve">HubSpot → Sheet</t>
  </si>
  <si>
    <t xml:space="preserve">HubSpot line items map to Products tab</t>
  </si>
  <si>
    <t xml:space="preserve">QuickBooks Account Mapping</t>
  </si>
  <si>
    <t xml:space="preserve">Event in Katana/Sheet</t>
  </si>
  <si>
    <t xml:space="preserve">QB Account Type</t>
  </si>
  <si>
    <t xml:space="preserve">QB Account Name</t>
  </si>
  <si>
    <t xml:space="preserve">Account Code</t>
  </si>
  <si>
    <t xml:space="preserve">SO Confirmed / Shipped</t>
  </si>
  <si>
    <t xml:space="preserve">Revenue (AR)</t>
  </si>
  <si>
    <t xml:space="preserve">Accounts Receivable</t>
  </si>
  <si>
    <t xml:space="preserve">1200</t>
  </si>
  <si>
    <t xml:space="preserve">SO Total → QB Invoice</t>
  </si>
  <si>
    <t xml:space="preserve">PO Goods Received</t>
  </si>
  <si>
    <t xml:space="preserve">Expense (AP)</t>
  </si>
  <si>
    <t xml:space="preserve">Accounts Payable</t>
  </si>
  <si>
    <t xml:space="preserve">2100</t>
  </si>
  <si>
    <t xml:space="preserve">PO Total → QB Bill</t>
  </si>
  <si>
    <t xml:space="preserve">Inventory Adjustment</t>
  </si>
  <si>
    <t xml:space="preserve">Asset</t>
  </si>
  <si>
    <t xml:space="preserve">Inventory Asset</t>
  </si>
  <si>
    <t xml:space="preserve">1500</t>
  </si>
  <si>
    <t xml:space="preserve">Stock value changes</t>
  </si>
  <si>
    <t xml:space="preserve">Manufacturing Cost</t>
  </si>
  <si>
    <t xml:space="preserve">COGS</t>
  </si>
  <si>
    <t xml:space="preserve">Cost of Goods Sold</t>
  </si>
  <si>
    <t xml:space="preserve">5000</t>
  </si>
  <si>
    <t xml:space="preserve">BOM cost on SO delivery</t>
  </si>
  <si>
    <t xml:space="preserve">Product Revenue</t>
  </si>
  <si>
    <t xml:space="preserve">Revenue</t>
  </si>
  <si>
    <t xml:space="preserve">Product Sales Revenue</t>
  </si>
  <si>
    <t xml:space="preserve">4000</t>
  </si>
  <si>
    <t xml:space="preserve">Per product category</t>
  </si>
  <si>
    <t xml:space="preserve">Freight/Shipping</t>
  </si>
  <si>
    <t xml:space="preserve">Expense</t>
  </si>
  <si>
    <t xml:space="preserve">Shipping Expense</t>
  </si>
  <si>
    <t xml:space="preserve">6200</t>
  </si>
  <si>
    <t xml:space="preserve">Freightcom actual costs</t>
  </si>
  <si>
    <t xml:space="preserve">Customer Payment (QB→Sheet)</t>
  </si>
  <si>
    <t xml:space="preserve">AR Clearing</t>
  </si>
  <si>
    <t xml:space="preserve">Payment Received</t>
  </si>
  <si>
    <t xml:space="preserve">1201</t>
  </si>
  <si>
    <t xml:space="preserve">Updates SO Payment Status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</si>
</sst>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yyyy\-mm\-dd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C6E7"/>
      <rgbColor rgb="FF808080"/>
      <rgbColor rgb="FF9999FF"/>
      <rgbColor rgb="FF7030A0"/>
      <rgbColor rgb="FFFFF2CC"/>
      <rgbColor rgb="FFCCFFFF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4472C4"/>
      <rgbColor rgb="FF33CCCC"/>
      <rgbColor rgb="FF99CC00"/>
      <rgbColor rgb="FFFFCC00"/>
      <rgbColor rgb="FFBF8F00"/>
      <rgbColor rgb="FFED7D31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8"/>
    <col collapsed="false" customWidth="true" hidden="false" outlineLevel="0" max="3" min="3" style="1" width="25"/>
    <col collapsed="false" customWidth="true" hidden="false" outlineLevel="0" max="4" min="4" style="1" width="14"/>
  </cols>
  <sheetData>
    <row r="1" customFormat="false" ht="30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5" t="n">
        <f aca="false">COUNTIF('Sales Orders'!K4:K100,"Open")</f>
        <v>20</v>
      </c>
      <c r="C5" s="5" t="s">
        <v>7</v>
      </c>
      <c r="D5" s="5" t="str">
        <f aca="false">IF(B5="","—",IF(OR(AND(A5="Low Stock Alerts",B5&gt;5),AND(A5="Open Sales Orders",B5&gt;20)),"⚠ Review","✓ OK"))</f>
        <v>✓ OK</v>
      </c>
    </row>
    <row r="6" customFormat="false" ht="15" hidden="false" customHeight="true" outlineLevel="0" collapsed="false">
      <c r="A6" s="5" t="s">
        <v>8</v>
      </c>
      <c r="B6" s="5" t="n">
        <f aca="false">SUMPRODUCT(('Sales Orders'!K4:K100="Open")*('Sales Orders'!I4:I100))</f>
        <v>19740.09</v>
      </c>
      <c r="C6" s="5" t="s">
        <v>9</v>
      </c>
      <c r="D6" s="5" t="str">
        <f aca="false">IF(B6="","—",IF(OR(AND(A6="Low Stock Alerts",B6&gt;5),AND(A6="Open Sales Orders",B6&gt;20)),"⚠ Review","✓ OK"))</f>
        <v>✓ OK</v>
      </c>
    </row>
    <row r="7" customFormat="false" ht="15" hidden="false" customHeight="true" outlineLevel="0" collapsed="false">
      <c r="A7" s="5" t="s">
        <v>10</v>
      </c>
      <c r="B7" s="5" t="n">
        <f aca="false">COUNTA(Inventory!A4:A500)</f>
        <v>6</v>
      </c>
      <c r="C7" s="5" t="s">
        <v>11</v>
      </c>
      <c r="D7" s="5" t="str">
        <f aca="false">IF(B7="","—",IF(OR(AND(A7="Low Stock Alerts",B7&gt;5),AND(A7="Open Sales Orders",B7&gt;20)),"⚠ Review","✓ OK"))</f>
        <v>✓ OK</v>
      </c>
    </row>
    <row r="8" customFormat="false" ht="15" hidden="false" customHeight="true" outlineLevel="0" collapsed="false">
      <c r="A8" s="5" t="s">
        <v>12</v>
      </c>
      <c r="B8" s="5" t="n">
        <f aca="false">COUNTIF(Inventory!J4:J500,"LOW")</f>
        <v>1</v>
      </c>
      <c r="C8" s="5" t="s">
        <v>13</v>
      </c>
      <c r="D8" s="5" t="str">
        <f aca="false">IF(B8="","—",IF(OR(AND(A8="Low Stock Alerts",B8&gt;5),AND(A8="Open Sales Orders",B8&gt;20)),"⚠ Review","✓ OK"))</f>
        <v>✓ OK</v>
      </c>
    </row>
    <row r="9" customFormat="false" ht="15" hidden="false" customHeight="true" outlineLevel="0" collapsed="false">
      <c r="A9" s="5" t="s">
        <v>14</v>
      </c>
      <c r="B9" s="5" t="n">
        <f aca="false">COUNTIF('Make Orders'!J4:J100,"In Progress")+COUNTIF('Make Orders'!J4:J100,"Planned")</f>
        <v>3</v>
      </c>
      <c r="C9" s="5" t="s">
        <v>15</v>
      </c>
      <c r="D9" s="5" t="str">
        <f aca="false">IF(B9="","—",IF(OR(AND(A9="Low Stock Alerts",B9&gt;5),AND(A9="Open Sales Orders",B9&gt;20)),"⚠ Review","✓ OK"))</f>
        <v>✓ OK</v>
      </c>
    </row>
    <row r="10" customFormat="false" ht="15" hidden="false" customHeight="true" outlineLevel="0" collapsed="false">
      <c r="A10" s="5" t="s">
        <v>16</v>
      </c>
      <c r="B10" s="5" t="n">
        <f aca="false">COUNTIF('Vendors &amp; POs'!L4:L100,"Open")+COUNTIF('Vendors &amp; POs'!L4:L100,"Partial")</f>
        <v>3</v>
      </c>
      <c r="C10" s="5" t="s">
        <v>17</v>
      </c>
      <c r="D10" s="5" t="str">
        <f aca="false">IF(B10="","—",IF(OR(AND(A10="Low Stock Alerts",B10&gt;5),AND(A10="Open Sales Orders",B10&gt;20)),"⚠ Review","✓ OK"))</f>
        <v>✓ OK</v>
      </c>
    </row>
    <row r="11" customFormat="false" ht="15" hidden="false" customHeight="true" outlineLevel="0" collapsed="false">
      <c r="A11" s="5" t="s">
        <v>18</v>
      </c>
      <c r="B11" s="5" t="n">
        <f aca="false">COUNTIF('Shipping &amp; Tracking'!J4:J100,"In Transit")</f>
        <v>3</v>
      </c>
      <c r="C11" s="5" t="s">
        <v>19</v>
      </c>
      <c r="D11" s="5" t="str">
        <f aca="false">IF(B11="","—",IF(OR(AND(A11="Low Stock Alerts",B11&gt;5),AND(A11="Open Sales Orders",B11&gt;20)),"⚠ Review","✓ OK"))</f>
        <v>✓ OK</v>
      </c>
    </row>
    <row r="12" customFormat="false" ht="15" hidden="false" customHeight="true" outlineLevel="0" collapsed="false">
      <c r="A12" s="5" t="s">
        <v>20</v>
      </c>
      <c r="B12" s="5" t="n">
        <f aca="false">COUNTA(BOMs!A4:A500)</f>
        <v>12</v>
      </c>
      <c r="C12" s="5" t="s">
        <v>21</v>
      </c>
      <c r="D12" s="5" t="str">
        <f aca="false">IF(B12="","—",IF(OR(AND(A12="Low Stock Alerts",B12&gt;5),AND(A12="Open Sales Orders",B12&gt;20)),"⚠ Review","✓ OK"))</f>
        <v>✓ OK</v>
      </c>
    </row>
    <row r="13" customFormat="false" ht="15" hidden="false" customHeight="true" outlineLevel="0" collapsed="false">
      <c r="A13" s="5" t="s">
        <v>22</v>
      </c>
      <c r="B13" s="5" t="n">
        <f aca="false">COUNTA(Customers!A4:A500)</f>
        <v>50</v>
      </c>
      <c r="C13" s="5" t="s">
        <v>23</v>
      </c>
      <c r="D13" s="5" t="str">
        <f aca="false">IF(B13="","—",IF(OR(AND(A13="Low Stock Alerts",B13&gt;5),AND(A13="Open Sales Orders",B13&gt;20)),"⚠ Review","✓ OK"))</f>
        <v>✓ OK</v>
      </c>
    </row>
    <row r="14" customFormat="false" ht="15" hidden="false" customHeight="true" outlineLevel="0" collapsed="false">
      <c r="A14" s="5" t="s">
        <v>24</v>
      </c>
      <c r="B14" s="5" t="n">
        <f aca="false">COUNTA(Products!A4:A500)</f>
        <v>5</v>
      </c>
      <c r="C14" s="5" t="s">
        <v>25</v>
      </c>
      <c r="D14" s="5" t="str">
        <f aca="false">IF(B14="","—",IF(OR(AND(A14="Low Stock Alerts",B14&gt;5),AND(A14="Open Sales Orders",B14&gt;20)),"⚠ Review","✓ OK"))</f>
        <v>✓ OK</v>
      </c>
    </row>
    <row r="15" customFormat="false" ht="15" hidden="false" customHeight="true" outlineLevel="0" collapsed="false">
      <c r="A15" s="6" t="s">
        <v>26</v>
      </c>
      <c r="B15" s="6" t="n">
        <f aca="false">SUMPRODUCT(Inventory!E4:E100,Inventory!K4:K100)</f>
        <v>42645</v>
      </c>
      <c r="C15" s="6" t="s">
        <v>27</v>
      </c>
      <c r="D15" s="6" t="str">
        <f aca="false">IF(B15="","—",IF(OR(AND(A15="Low Stock Alert Count",B15&gt;3),AND(A15="Overdue Purchase Orders",B15&gt;0)),"⚠ Review","✓ OK"))</f>
        <v>✓ OK</v>
      </c>
    </row>
    <row r="16" customFormat="false" ht="15" hidden="false" customHeight="true" outlineLevel="0" collapsed="false">
      <c r="A16" s="6" t="s">
        <v>28</v>
      </c>
      <c r="B16" s="6" t="n">
        <f aca="true">SUMPRODUCT((DATEVALUE('Sales Orders'!B4:B53)&gt;=TODAY()-30)*('Sales Orders'!K4:K53="Delivered")*('Sales Orders'!I4:I53))</f>
        <v>174.99</v>
      </c>
      <c r="C16" s="6" t="s">
        <v>29</v>
      </c>
      <c r="D16" s="6" t="str">
        <f aca="false">IF(B16="","—",IF(OR(AND(A16="Low Stock Alert Count",B16&gt;3),AND(A16="Overdue Purchase Orders",B16&gt;0)),"⚠ Review","✓ OK"))</f>
        <v>✓ OK</v>
      </c>
    </row>
    <row r="17" customFormat="false" ht="15" hidden="false" customHeight="true" outlineLevel="0" collapsed="false">
      <c r="A17" s="7" t="s">
        <v>30</v>
      </c>
      <c r="B17" s="7" t="n">
        <f aca="true">SUMPRODUCT((DATEVALUE('Sales Orders'!B4:B53)&gt;=TODAY()-30)*('Sales Orders'!M4:M53="Fulfilled")*1)</f>
        <v>6</v>
      </c>
      <c r="C17" s="7" t="s">
        <v>31</v>
      </c>
      <c r="D17" s="6" t="str">
        <f aca="false">IF(B17="","—",IF(OR(AND(A17="Low Stock Alert Count",B17&gt;3),AND(A17="Overdue Purchase Orders",B17&gt;0)),"⚠ Review","✓ OK"))</f>
        <v>✓ OK</v>
      </c>
    </row>
    <row r="18" customFormat="false" ht="15" hidden="false" customHeight="true" outlineLevel="0" collapsed="false">
      <c r="A18" s="6" t="s">
        <v>32</v>
      </c>
      <c r="B18" s="6" t="n">
        <f aca="false">IFERROR(AVERAGE('Sales Orders'!I4:I100),"—")</f>
        <v>813.1832</v>
      </c>
      <c r="C18" s="6" t="s">
        <v>9</v>
      </c>
      <c r="D18" s="6" t="str">
        <f aca="false">IF(B18="","—",IF(OR(AND(A18="Low Stock Alert Count",B18&gt;3),AND(A18="Overdue Purchase Orders",B18&gt;0)),"⚠ Review","✓ OK"))</f>
        <v>✓ OK</v>
      </c>
    </row>
    <row r="19" customFormat="false" ht="15" hidden="false" customHeight="true" outlineLevel="0" collapsed="false">
      <c r="A19" s="6" t="s">
        <v>33</v>
      </c>
      <c r="B19" s="6" t="n">
        <f aca="false">COUNTIF(Inventory!U4:U100,"REORDER")+COUNTIF(Inventory!U4:U100,"ORDER NOW")</f>
        <v>1</v>
      </c>
      <c r="C19" s="6" t="s">
        <v>34</v>
      </c>
      <c r="D19" s="6" t="str">
        <f aca="false">IF(B19="","—",IF(OR(AND(A19="Low Stock Alert Count",B19&gt;3),AND(A19="Overdue Purchase Orders",B19&gt;0)),"⚠ Review","✓ OK"))</f>
        <v>✓ OK</v>
      </c>
    </row>
    <row r="20" customFormat="false" ht="15" hidden="false" customHeight="true" outlineLevel="0" collapsed="false">
      <c r="A20" s="6" t="s">
        <v>35</v>
      </c>
      <c r="B20" s="6" t="n">
        <f aca="false">COUNTIF('Vendors &amp; POs'!W4:W100,"&gt;"&amp;0)</f>
        <v>0</v>
      </c>
      <c r="C20" s="6" t="s">
        <v>36</v>
      </c>
      <c r="D20" s="6" t="str">
        <f aca="false">IF(B20="","—",IF(OR(AND(A20="Low Stock Alert Count",B20&gt;3),AND(A20="Overdue Purchase Orders",B20&gt;0)),"⚠ Review","✓ OK"))</f>
        <v>✓ OK</v>
      </c>
    </row>
    <row r="21" customFormat="false" ht="15" hidden="false" customHeight="true" outlineLevel="0" collapsed="false">
      <c r="A21" s="6" t="s">
        <v>37</v>
      </c>
      <c r="B21" s="6" t="n">
        <f aca="false">IFERROR(MIN(Inventory!T4:T100),"N/A")</f>
        <v>39</v>
      </c>
      <c r="C21" s="6" t="s">
        <v>38</v>
      </c>
      <c r="D21" s="6" t="str">
        <f aca="false">IF(B21="","—",IF(OR(AND(A21="Low Stock Alert Count",B21&gt;3),AND(A21="Overdue Purchase Orders",B21&gt;0)),"⚠ Review","✓ OK"))</f>
        <v>✓ OK</v>
      </c>
    </row>
    <row r="22" customFormat="false" ht="15" hidden="false" customHeight="true" outlineLevel="0" collapsed="false">
      <c r="A22" s="6" t="s">
        <v>39</v>
      </c>
      <c r="B22" s="6" t="n">
        <f aca="false">COUNTA('Serial Tracker'!A4:A500)-COUNTIF('Serial Tracker'!A4:A500,"(pending)")</f>
        <v>39</v>
      </c>
      <c r="C22" s="6" t="s">
        <v>40</v>
      </c>
      <c r="D22" s="6" t="str">
        <f aca="false">IF(B22="","—",IF(OR(AND(A22="Low Stock Alert Count",B22&gt;3),AND(A22="Overdue Purchase Orders",B22&gt;0)),"⚠ Review","✓ OK"))</f>
        <v>✓ OK</v>
      </c>
    </row>
    <row r="23" customFormat="false" ht="15" hidden="false" customHeight="true" outlineLevel="0" collapsed="false">
      <c r="A23" s="6" t="s">
        <v>41</v>
      </c>
      <c r="B23" s="6" t="n">
        <f aca="false">COUNTA('Serial Tracker'!M4:M57)</f>
        <v>24</v>
      </c>
      <c r="C23" s="6" t="s">
        <v>42</v>
      </c>
      <c r="D23" s="6" t="str">
        <f aca="false">IF(B23="","—",IF(OR(AND(A23="Low Stock Alert Count",B23&gt;3),AND(A23="Overdue Purchase Orders",B23&gt;0)),"⚠ Review","✓ OK"))</f>
        <v>✓ OK</v>
      </c>
    </row>
    <row r="24" customFormat="false" ht="15" hidden="false" customHeight="true" outlineLevel="0" collapsed="false">
      <c r="A24" s="6" t="s">
        <v>43</v>
      </c>
      <c r="B24" s="6" t="n">
        <f aca="false">COUNTIF('Shipping &amp; Tracking'!J4:J100,"Pending")</f>
        <v>33</v>
      </c>
      <c r="C24" s="6" t="s">
        <v>19</v>
      </c>
      <c r="D24" s="6" t="str">
        <f aca="false">IF(B24="","—",IF(OR(AND(A24="Low Stock Alert Count",B24&gt;3),AND(A24="Overdue Purchase Orders",B24&gt;0)),"⚠ Review","✓ OK"))</f>
        <v>✓ OK</v>
      </c>
    </row>
    <row r="25" customFormat="false" ht="15" hidden="false" customHeight="true" outlineLevel="0" collapsed="false">
      <c r="A25" s="5" t="s">
        <v>44</v>
      </c>
      <c r="B25" s="5" t="s">
        <v>45</v>
      </c>
      <c r="C25" s="5" t="s">
        <v>46</v>
      </c>
    </row>
    <row r="27" customFormat="false" ht="15" hidden="false" customHeight="true" outlineLevel="0" collapsed="false">
      <c r="A27" s="8" t="s">
        <v>47</v>
      </c>
      <c r="B27" s="8"/>
      <c r="C27" s="8"/>
      <c r="D27" s="8"/>
    </row>
    <row r="28" customFormat="false" ht="15" hidden="false" customHeight="true" outlineLevel="0" collapsed="false">
      <c r="A28" s="4" t="s">
        <v>2</v>
      </c>
      <c r="B28" s="4" t="s">
        <v>3</v>
      </c>
      <c r="C28" s="4" t="s">
        <v>48</v>
      </c>
      <c r="D28" s="4" t="s">
        <v>49</v>
      </c>
    </row>
    <row r="29" customFormat="false" ht="15" hidden="false" customHeight="true" outlineLevel="0" collapsed="false">
      <c r="A29" s="6" t="s">
        <v>50</v>
      </c>
      <c r="B29" s="6" t="n">
        <f aca="true">SUMPRODUCT((DATEVALUE('Sales Orders'!B4:B53)&gt;=TODAY()-30)*1)</f>
        <v>23</v>
      </c>
      <c r="C29" s="6" t="s">
        <v>51</v>
      </c>
      <c r="D29" s="6" t="s">
        <v>52</v>
      </c>
    </row>
    <row r="30" customFormat="false" ht="15" hidden="false" customHeight="true" outlineLevel="0" collapsed="false">
      <c r="A30" s="6" t="s">
        <v>53</v>
      </c>
      <c r="B30" s="6" t="n">
        <f aca="true">SUMPRODUCT((DATEVALUE('Sales Orders'!B4:B53)&gt;=TODAY()-60)*1)</f>
        <v>50</v>
      </c>
      <c r="C30" s="6" t="s">
        <v>51</v>
      </c>
      <c r="D30" s="6" t="s">
        <v>52</v>
      </c>
    </row>
    <row r="31" customFormat="false" ht="15" hidden="false" customHeight="true" outlineLevel="0" collapsed="false">
      <c r="A31" s="6" t="s">
        <v>54</v>
      </c>
      <c r="B31" s="6" t="n">
        <f aca="true">SUMPRODUCT((DATEVALUE('Sales Orders'!B4:B53)&gt;=TODAY()-90)*1)</f>
        <v>50</v>
      </c>
      <c r="C31" s="6" t="s">
        <v>51</v>
      </c>
      <c r="D31" s="6" t="s">
        <v>52</v>
      </c>
    </row>
    <row r="32" customFormat="false" ht="23.25" hidden="false" customHeight="true" outlineLevel="0" collapsed="false">
      <c r="A32" s="6" t="s">
        <v>55</v>
      </c>
      <c r="B32" s="6" t="n">
        <f aca="false">IFERROR(B29/30,0)</f>
        <v>0.766666666666667</v>
      </c>
      <c r="C32" s="6" t="s">
        <v>56</v>
      </c>
      <c r="D32" s="6" t="s">
        <v>57</v>
      </c>
    </row>
    <row r="33" customFormat="false" ht="23.25" hidden="false" customHeight="true" outlineLevel="0" collapsed="false">
      <c r="A33" s="6" t="s">
        <v>58</v>
      </c>
      <c r="B33" s="6" t="n">
        <f aca="false">ROUND(B32*30,0)</f>
        <v>23</v>
      </c>
      <c r="C33" s="6" t="s">
        <v>59</v>
      </c>
      <c r="D33" s="6" t="s">
        <v>60</v>
      </c>
    </row>
    <row r="34" customFormat="false" ht="23.25" hidden="false" customHeight="true" outlineLevel="0" collapsed="false">
      <c r="A34" s="6" t="s">
        <v>61</v>
      </c>
      <c r="B34" s="6" t="n">
        <f aca="false">IFERROR(ROUND(SUM(Inventory!E4:E100)/MAX(B33,1),1),"N/A")</f>
        <v>28.9</v>
      </c>
      <c r="C34" s="6" t="s">
        <v>62</v>
      </c>
      <c r="D34" s="6" t="s">
        <v>63</v>
      </c>
    </row>
    <row r="35" customFormat="false" ht="23.25" hidden="false" customHeight="true" outlineLevel="0" collapsed="false">
      <c r="A35" s="6" t="s">
        <v>64</v>
      </c>
      <c r="B35" s="6" t="n">
        <f aca="true">IFERROR(SUMPRODUCT((DATEVALUE('Sales Orders'!B4:B53)&gt;=TODAY()-30)*('Sales Orders'!I4:I53))/30,0)</f>
        <v>549.292666666667</v>
      </c>
      <c r="C35" s="6" t="s">
        <v>65</v>
      </c>
      <c r="D35" s="6" t="s">
        <v>66</v>
      </c>
    </row>
  </sheetData>
  <mergeCells count="1"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V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0"/>
    <col collapsed="false" customWidth="true" hidden="false" outlineLevel="0" max="4" min="4" style="1" width="15"/>
    <col collapsed="false" customWidth="true" hidden="false" outlineLevel="0" max="5" min="5" style="1" width="18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6"/>
    <col collapsed="false" customWidth="true" hidden="false" outlineLevel="0" max="9" min="9" style="1" width="12"/>
    <col collapsed="false" customWidth="true" hidden="false" outlineLevel="0" max="10" min="10" style="1" width="8"/>
    <col collapsed="false" customWidth="true" hidden="false" outlineLevel="0" max="12" min="11" style="1" width="12"/>
    <col collapsed="false" customWidth="true" hidden="false" outlineLevel="0" max="13" min="13" style="1" width="14"/>
    <col collapsed="false" customWidth="true" hidden="false" outlineLevel="0" max="14" min="14" style="1" width="16"/>
    <col collapsed="false" customWidth="true" hidden="false" outlineLevel="0" max="15" min="15" style="1" width="14"/>
    <col collapsed="false" customWidth="true" hidden="false" outlineLevel="0" max="17" min="16" style="1" width="12"/>
    <col collapsed="false" customWidth="true" hidden="false" outlineLevel="0" max="18" min="18" style="1" width="18"/>
    <col collapsed="false" customWidth="true" hidden="false" outlineLevel="0" max="19" min="19" style="1" width="25"/>
    <col collapsed="false" customWidth="true" hidden="false" outlineLevel="0" max="21" min="20" style="1" width="14"/>
    <col collapsed="false" customWidth="true" hidden="false" outlineLevel="0" max="22" min="22" style="1" width="20"/>
  </cols>
  <sheetData>
    <row r="1" customFormat="false" ht="30" hidden="false" customHeight="true" outlineLevel="0" collapsed="false">
      <c r="A1" s="2" t="s">
        <v>67</v>
      </c>
    </row>
    <row r="2" customFormat="false" ht="15" hidden="false" customHeight="true" outlineLevel="0" collapsed="false">
      <c r="A2" s="3" t="s">
        <v>68</v>
      </c>
    </row>
    <row r="3" customFormat="false" ht="26.25" hidden="false" customHeight="true" outlineLevel="0" collapsed="false">
      <c r="A3" s="4" t="s">
        <v>69</v>
      </c>
      <c r="B3" s="4" t="s">
        <v>70</v>
      </c>
      <c r="C3" s="4" t="s">
        <v>71</v>
      </c>
      <c r="D3" s="4" t="s">
        <v>72</v>
      </c>
      <c r="E3" s="4" t="s">
        <v>73</v>
      </c>
      <c r="F3" s="4" t="s">
        <v>74</v>
      </c>
      <c r="G3" s="4" t="s">
        <v>75</v>
      </c>
      <c r="H3" s="4" t="s">
        <v>76</v>
      </c>
      <c r="I3" s="4" t="s">
        <v>77</v>
      </c>
      <c r="J3" s="4" t="s">
        <v>78</v>
      </c>
      <c r="K3" s="4" t="s">
        <v>5</v>
      </c>
      <c r="L3" s="4" t="s">
        <v>79</v>
      </c>
      <c r="M3" s="4" t="s">
        <v>80</v>
      </c>
      <c r="N3" s="4" t="s">
        <v>81</v>
      </c>
      <c r="O3" s="4" t="s">
        <v>82</v>
      </c>
      <c r="P3" s="4" t="s">
        <v>83</v>
      </c>
      <c r="Q3" s="4" t="s">
        <v>84</v>
      </c>
      <c r="R3" s="4" t="s">
        <v>85</v>
      </c>
      <c r="S3" s="4" t="s">
        <v>49</v>
      </c>
      <c r="T3" s="4" t="s">
        <v>86</v>
      </c>
      <c r="U3" s="4" t="s">
        <v>87</v>
      </c>
      <c r="V3" s="4" t="s">
        <v>88</v>
      </c>
    </row>
    <row r="4" customFormat="false" ht="15" hidden="false" customHeight="true" outlineLevel="0" collapsed="false">
      <c r="A4" s="9" t="s">
        <v>89</v>
      </c>
      <c r="B4" s="9" t="s">
        <v>90</v>
      </c>
      <c r="C4" s="9" t="s">
        <v>91</v>
      </c>
      <c r="D4" s="9" t="s">
        <v>89</v>
      </c>
      <c r="E4" s="9" t="s">
        <v>92</v>
      </c>
      <c r="F4" s="9"/>
      <c r="G4" s="9" t="s">
        <v>93</v>
      </c>
      <c r="H4" s="9" t="n">
        <v>1</v>
      </c>
      <c r="I4" s="9" t="n">
        <v>1037.27</v>
      </c>
      <c r="J4" s="9" t="s">
        <v>94</v>
      </c>
      <c r="K4" s="9" t="s">
        <v>95</v>
      </c>
      <c r="L4" s="9" t="s">
        <v>96</v>
      </c>
      <c r="M4" s="9" t="s">
        <v>97</v>
      </c>
      <c r="N4" s="9"/>
      <c r="O4" s="9"/>
      <c r="P4" s="9"/>
      <c r="Q4" s="9"/>
      <c r="R4" s="9"/>
      <c r="S4" s="9" t="s">
        <v>98</v>
      </c>
      <c r="T4" s="6"/>
      <c r="U4" s="6"/>
      <c r="V4" s="6"/>
    </row>
    <row r="5" customFormat="false" ht="15" hidden="false" customHeight="true" outlineLevel="0" collapsed="false">
      <c r="A5" s="9" t="s">
        <v>99</v>
      </c>
      <c r="B5" s="9" t="s">
        <v>90</v>
      </c>
      <c r="C5" s="9" t="s">
        <v>91</v>
      </c>
      <c r="D5" s="9" t="s">
        <v>99</v>
      </c>
      <c r="E5" s="9" t="s">
        <v>100</v>
      </c>
      <c r="F5" s="9"/>
      <c r="G5" s="9" t="s">
        <v>93</v>
      </c>
      <c r="H5" s="9" t="n">
        <v>1</v>
      </c>
      <c r="I5" s="9" t="n">
        <v>1016.36</v>
      </c>
      <c r="J5" s="9" t="s">
        <v>94</v>
      </c>
      <c r="K5" s="9" t="s">
        <v>95</v>
      </c>
      <c r="L5" s="9" t="s">
        <v>96</v>
      </c>
      <c r="M5" s="9" t="s">
        <v>97</v>
      </c>
      <c r="N5" s="9"/>
      <c r="O5" s="9"/>
      <c r="P5" s="9"/>
      <c r="Q5" s="9"/>
      <c r="R5" s="9"/>
      <c r="S5" s="9" t="s">
        <v>98</v>
      </c>
      <c r="T5" s="6"/>
      <c r="U5" s="6"/>
      <c r="V5" s="6"/>
    </row>
    <row r="6" customFormat="false" ht="15" hidden="false" customHeight="true" outlineLevel="0" collapsed="false">
      <c r="A6" s="9" t="s">
        <v>101</v>
      </c>
      <c r="B6" s="9" t="s">
        <v>102</v>
      </c>
      <c r="C6" s="9" t="s">
        <v>91</v>
      </c>
      <c r="D6" s="9" t="s">
        <v>101</v>
      </c>
      <c r="E6" s="9" t="s">
        <v>103</v>
      </c>
      <c r="F6" s="9"/>
      <c r="G6" s="9" t="s">
        <v>93</v>
      </c>
      <c r="H6" s="9" t="n">
        <v>1</v>
      </c>
      <c r="I6" s="9" t="n">
        <v>1016.08</v>
      </c>
      <c r="J6" s="9" t="s">
        <v>94</v>
      </c>
      <c r="K6" s="9" t="s">
        <v>95</v>
      </c>
      <c r="L6" s="9" t="s">
        <v>96</v>
      </c>
      <c r="M6" s="9" t="s">
        <v>97</v>
      </c>
      <c r="N6" s="9"/>
      <c r="O6" s="9"/>
      <c r="P6" s="9"/>
      <c r="Q6" s="9"/>
      <c r="R6" s="9"/>
      <c r="S6" s="9" t="s">
        <v>98</v>
      </c>
      <c r="T6" s="6"/>
      <c r="U6" s="6"/>
      <c r="V6" s="6"/>
    </row>
    <row r="7" customFormat="false" ht="23.25" hidden="false" customHeight="true" outlineLevel="0" collapsed="false">
      <c r="A7" s="9" t="s">
        <v>104</v>
      </c>
      <c r="B7" s="9" t="s">
        <v>102</v>
      </c>
      <c r="C7" s="9" t="s">
        <v>91</v>
      </c>
      <c r="D7" s="9" t="s">
        <v>104</v>
      </c>
      <c r="E7" s="9" t="s">
        <v>105</v>
      </c>
      <c r="F7" s="9"/>
      <c r="G7" s="9" t="s">
        <v>93</v>
      </c>
      <c r="H7" s="9" t="n">
        <v>1</v>
      </c>
      <c r="I7" s="9" t="n">
        <v>985.23</v>
      </c>
      <c r="J7" s="9" t="s">
        <v>94</v>
      </c>
      <c r="K7" s="9" t="s">
        <v>95</v>
      </c>
      <c r="L7" s="9" t="s">
        <v>96</v>
      </c>
      <c r="M7" s="9" t="s">
        <v>97</v>
      </c>
      <c r="N7" s="9"/>
      <c r="O7" s="9"/>
      <c r="P7" s="9"/>
      <c r="Q7" s="9"/>
      <c r="R7" s="9"/>
      <c r="S7" s="9" t="s">
        <v>98</v>
      </c>
      <c r="T7" s="6"/>
      <c r="U7" s="6"/>
      <c r="V7" s="6"/>
    </row>
    <row r="8" customFormat="false" ht="15" hidden="false" customHeight="true" outlineLevel="0" collapsed="false">
      <c r="A8" s="9" t="s">
        <v>106</v>
      </c>
      <c r="B8" s="9" t="s">
        <v>107</v>
      </c>
      <c r="C8" s="9" t="s">
        <v>91</v>
      </c>
      <c r="D8" s="9" t="s">
        <v>106</v>
      </c>
      <c r="E8" s="9" t="s">
        <v>108</v>
      </c>
      <c r="F8" s="9" t="s">
        <v>109</v>
      </c>
      <c r="G8" s="9" t="s">
        <v>93</v>
      </c>
      <c r="H8" s="9" t="n">
        <v>1</v>
      </c>
      <c r="I8" s="9" t="n">
        <v>1043.06</v>
      </c>
      <c r="J8" s="9" t="s">
        <v>94</v>
      </c>
      <c r="K8" s="9" t="s">
        <v>95</v>
      </c>
      <c r="L8" s="9" t="s">
        <v>96</v>
      </c>
      <c r="M8" s="9" t="s">
        <v>97</v>
      </c>
      <c r="N8" s="9"/>
      <c r="O8" s="9"/>
      <c r="P8" s="9"/>
      <c r="Q8" s="9"/>
      <c r="R8" s="9"/>
      <c r="S8" s="9" t="s">
        <v>98</v>
      </c>
      <c r="T8" s="6"/>
      <c r="U8" s="6"/>
      <c r="V8" s="6"/>
    </row>
    <row r="9" customFormat="false" ht="15" hidden="false" customHeight="true" outlineLevel="0" collapsed="false">
      <c r="A9" s="9" t="s">
        <v>110</v>
      </c>
      <c r="B9" s="9" t="s">
        <v>107</v>
      </c>
      <c r="C9" s="9" t="s">
        <v>91</v>
      </c>
      <c r="D9" s="9" t="s">
        <v>110</v>
      </c>
      <c r="E9" s="9" t="s">
        <v>111</v>
      </c>
      <c r="F9" s="9"/>
      <c r="G9" s="9" t="s">
        <v>93</v>
      </c>
      <c r="H9" s="9" t="n">
        <v>1</v>
      </c>
      <c r="I9" s="9" t="n">
        <v>0</v>
      </c>
      <c r="J9" s="9" t="s">
        <v>94</v>
      </c>
      <c r="K9" s="9" t="s">
        <v>112</v>
      </c>
      <c r="L9" s="9" t="s">
        <v>96</v>
      </c>
      <c r="M9" s="9" t="s">
        <v>113</v>
      </c>
      <c r="N9" s="9"/>
      <c r="O9" s="9"/>
      <c r="P9" s="9"/>
      <c r="Q9" s="9" t="s">
        <v>107</v>
      </c>
      <c r="R9" s="9"/>
      <c r="S9" s="9" t="s">
        <v>98</v>
      </c>
      <c r="T9" s="6"/>
      <c r="U9" s="6"/>
      <c r="V9" s="6"/>
    </row>
    <row r="10" customFormat="false" ht="15" hidden="false" customHeight="true" outlineLevel="0" collapsed="false">
      <c r="A10" s="9" t="s">
        <v>114</v>
      </c>
      <c r="B10" s="9" t="s">
        <v>107</v>
      </c>
      <c r="C10" s="9" t="s">
        <v>91</v>
      </c>
      <c r="D10" s="9" t="s">
        <v>114</v>
      </c>
      <c r="E10" s="9" t="s">
        <v>111</v>
      </c>
      <c r="F10" s="9"/>
      <c r="G10" s="9" t="s">
        <v>93</v>
      </c>
      <c r="H10" s="9" t="n">
        <v>1</v>
      </c>
      <c r="I10" s="9" t="n">
        <v>0</v>
      </c>
      <c r="J10" s="9" t="s">
        <v>115</v>
      </c>
      <c r="K10" s="9" t="s">
        <v>112</v>
      </c>
      <c r="L10" s="9" t="s">
        <v>96</v>
      </c>
      <c r="M10" s="9" t="s">
        <v>113</v>
      </c>
      <c r="N10" s="9"/>
      <c r="O10" s="9"/>
      <c r="P10" s="9"/>
      <c r="Q10" s="9" t="s">
        <v>107</v>
      </c>
      <c r="R10" s="9"/>
      <c r="S10" s="9" t="s">
        <v>116</v>
      </c>
      <c r="T10" s="6"/>
      <c r="U10" s="6"/>
      <c r="V10" s="6"/>
    </row>
    <row r="11" customFormat="false" ht="15" hidden="false" customHeight="true" outlineLevel="0" collapsed="false">
      <c r="A11" s="9" t="s">
        <v>117</v>
      </c>
      <c r="B11" s="9" t="s">
        <v>118</v>
      </c>
      <c r="C11" s="9" t="s">
        <v>91</v>
      </c>
      <c r="D11" s="9" t="s">
        <v>117</v>
      </c>
      <c r="E11" s="9" t="s">
        <v>119</v>
      </c>
      <c r="F11" s="9" t="s">
        <v>120</v>
      </c>
      <c r="G11" s="9" t="s">
        <v>93</v>
      </c>
      <c r="H11" s="9" t="n">
        <v>1</v>
      </c>
      <c r="I11" s="9" t="n">
        <v>1302.95</v>
      </c>
      <c r="J11" s="9" t="s">
        <v>94</v>
      </c>
      <c r="K11" s="9" t="s">
        <v>95</v>
      </c>
      <c r="L11" s="9" t="s">
        <v>96</v>
      </c>
      <c r="M11" s="9" t="s">
        <v>97</v>
      </c>
      <c r="N11" s="9"/>
      <c r="O11" s="9"/>
      <c r="P11" s="9"/>
      <c r="Q11" s="9"/>
      <c r="R11" s="9"/>
      <c r="S11" s="9" t="s">
        <v>121</v>
      </c>
      <c r="T11" s="6"/>
      <c r="U11" s="6"/>
      <c r="V11" s="6"/>
    </row>
    <row r="12" customFormat="false" ht="15" hidden="false" customHeight="true" outlineLevel="0" collapsed="false">
      <c r="A12" s="9" t="s">
        <v>122</v>
      </c>
      <c r="B12" s="9" t="s">
        <v>123</v>
      </c>
      <c r="C12" s="9" t="s">
        <v>91</v>
      </c>
      <c r="D12" s="9" t="s">
        <v>122</v>
      </c>
      <c r="E12" s="9" t="s">
        <v>124</v>
      </c>
      <c r="F12" s="9" t="s">
        <v>125</v>
      </c>
      <c r="G12" s="9" t="s">
        <v>93</v>
      </c>
      <c r="H12" s="9" t="n">
        <v>1</v>
      </c>
      <c r="I12" s="9" t="n">
        <v>42.38</v>
      </c>
      <c r="J12" s="9" t="s">
        <v>94</v>
      </c>
      <c r="K12" s="9" t="s">
        <v>95</v>
      </c>
      <c r="L12" s="9" t="s">
        <v>96</v>
      </c>
      <c r="M12" s="9" t="s">
        <v>97</v>
      </c>
      <c r="N12" s="9"/>
      <c r="O12" s="9"/>
      <c r="P12" s="9"/>
      <c r="Q12" s="9"/>
      <c r="R12" s="9"/>
      <c r="S12" s="9" t="s">
        <v>126</v>
      </c>
      <c r="T12" s="6"/>
      <c r="U12" s="6"/>
      <c r="V12" s="6"/>
    </row>
    <row r="13" customFormat="false" ht="15" hidden="false" customHeight="true" outlineLevel="0" collapsed="false">
      <c r="A13" s="9" t="s">
        <v>127</v>
      </c>
      <c r="B13" s="9" t="s">
        <v>123</v>
      </c>
      <c r="C13" s="9" t="s">
        <v>91</v>
      </c>
      <c r="D13" s="9" t="s">
        <v>127</v>
      </c>
      <c r="E13" s="9" t="s">
        <v>128</v>
      </c>
      <c r="F13" s="9"/>
      <c r="G13" s="9" t="s">
        <v>93</v>
      </c>
      <c r="H13" s="9" t="n">
        <v>1</v>
      </c>
      <c r="I13" s="9" t="n">
        <v>43.74</v>
      </c>
      <c r="J13" s="9" t="s">
        <v>94</v>
      </c>
      <c r="K13" s="9" t="s">
        <v>112</v>
      </c>
      <c r="L13" s="9" t="s">
        <v>96</v>
      </c>
      <c r="M13" s="9" t="s">
        <v>113</v>
      </c>
      <c r="N13" s="9"/>
      <c r="O13" s="9"/>
      <c r="P13" s="9"/>
      <c r="Q13" s="9" t="s">
        <v>123</v>
      </c>
      <c r="R13" s="9"/>
      <c r="S13" s="9" t="s">
        <v>129</v>
      </c>
      <c r="T13" s="6"/>
      <c r="U13" s="6"/>
      <c r="V13" s="6"/>
    </row>
    <row r="14" customFormat="false" ht="15" hidden="false" customHeight="true" outlineLevel="0" collapsed="false">
      <c r="A14" s="9" t="s">
        <v>130</v>
      </c>
      <c r="B14" s="9" t="s">
        <v>131</v>
      </c>
      <c r="C14" s="9" t="s">
        <v>91</v>
      </c>
      <c r="D14" s="9" t="s">
        <v>130</v>
      </c>
      <c r="E14" s="9" t="s">
        <v>111</v>
      </c>
      <c r="F14" s="9"/>
      <c r="G14" s="9" t="s">
        <v>93</v>
      </c>
      <c r="H14" s="9" t="n">
        <v>1</v>
      </c>
      <c r="I14" s="9" t="n">
        <v>0</v>
      </c>
      <c r="J14" s="9" t="s">
        <v>94</v>
      </c>
      <c r="K14" s="9" t="s">
        <v>112</v>
      </c>
      <c r="L14" s="9" t="s">
        <v>96</v>
      </c>
      <c r="M14" s="9" t="s">
        <v>113</v>
      </c>
      <c r="N14" s="9"/>
      <c r="O14" s="9"/>
      <c r="P14" s="9"/>
      <c r="Q14" s="9" t="s">
        <v>131</v>
      </c>
      <c r="R14" s="9"/>
      <c r="S14" s="9" t="s">
        <v>126</v>
      </c>
      <c r="T14" s="6"/>
      <c r="U14" s="6"/>
      <c r="V14" s="6"/>
    </row>
    <row r="15" customFormat="false" ht="15" hidden="false" customHeight="true" outlineLevel="0" collapsed="false">
      <c r="A15" s="9" t="s">
        <v>132</v>
      </c>
      <c r="B15" s="9" t="s">
        <v>131</v>
      </c>
      <c r="C15" s="9" t="s">
        <v>91</v>
      </c>
      <c r="D15" s="9" t="s">
        <v>132</v>
      </c>
      <c r="E15" s="9" t="s">
        <v>133</v>
      </c>
      <c r="F15" s="9"/>
      <c r="G15" s="9" t="s">
        <v>93</v>
      </c>
      <c r="H15" s="9" t="n">
        <v>1</v>
      </c>
      <c r="I15" s="9" t="n">
        <v>131.25</v>
      </c>
      <c r="J15" s="9" t="s">
        <v>94</v>
      </c>
      <c r="K15" s="9" t="s">
        <v>112</v>
      </c>
      <c r="L15" s="9" t="s">
        <v>96</v>
      </c>
      <c r="M15" s="9" t="s">
        <v>113</v>
      </c>
      <c r="N15" s="9"/>
      <c r="O15" s="9"/>
      <c r="P15" s="9"/>
      <c r="Q15" s="9" t="s">
        <v>131</v>
      </c>
      <c r="R15" s="9"/>
      <c r="S15" s="9" t="s">
        <v>126</v>
      </c>
      <c r="T15" s="6"/>
      <c r="U15" s="6"/>
      <c r="V15" s="6"/>
    </row>
    <row r="16" customFormat="false" ht="15" hidden="false" customHeight="true" outlineLevel="0" collapsed="false">
      <c r="A16" s="9" t="s">
        <v>134</v>
      </c>
      <c r="B16" s="9" t="s">
        <v>135</v>
      </c>
      <c r="C16" s="9" t="s">
        <v>91</v>
      </c>
      <c r="D16" s="9" t="s">
        <v>134</v>
      </c>
      <c r="E16" s="9" t="s">
        <v>136</v>
      </c>
      <c r="F16" s="9" t="s">
        <v>137</v>
      </c>
      <c r="G16" s="9" t="s">
        <v>93</v>
      </c>
      <c r="H16" s="9" t="n">
        <v>1</v>
      </c>
      <c r="I16" s="9" t="n">
        <v>1351.87</v>
      </c>
      <c r="J16" s="9" t="s">
        <v>94</v>
      </c>
      <c r="K16" s="9" t="s">
        <v>95</v>
      </c>
      <c r="L16" s="9" t="s">
        <v>96</v>
      </c>
      <c r="M16" s="9" t="s">
        <v>97</v>
      </c>
      <c r="N16" s="9"/>
      <c r="O16" s="9"/>
      <c r="P16" s="9"/>
      <c r="Q16" s="9"/>
      <c r="R16" s="9"/>
      <c r="S16" s="9" t="s">
        <v>121</v>
      </c>
      <c r="T16" s="6"/>
      <c r="U16" s="6"/>
      <c r="V16" s="6"/>
    </row>
    <row r="17" customFormat="false" ht="15" hidden="false" customHeight="true" outlineLevel="0" collapsed="false">
      <c r="A17" s="9" t="s">
        <v>138</v>
      </c>
      <c r="B17" s="9" t="s">
        <v>139</v>
      </c>
      <c r="C17" s="9" t="s">
        <v>91</v>
      </c>
      <c r="D17" s="9" t="s">
        <v>138</v>
      </c>
      <c r="E17" s="9" t="s">
        <v>140</v>
      </c>
      <c r="F17" s="9" t="s">
        <v>141</v>
      </c>
      <c r="G17" s="9" t="s">
        <v>93</v>
      </c>
      <c r="H17" s="9" t="n">
        <v>1</v>
      </c>
      <c r="I17" s="9" t="n">
        <v>127.13</v>
      </c>
      <c r="J17" s="9" t="s">
        <v>94</v>
      </c>
      <c r="K17" s="9" t="s">
        <v>95</v>
      </c>
      <c r="L17" s="9" t="s">
        <v>96</v>
      </c>
      <c r="M17" s="9" t="s">
        <v>97</v>
      </c>
      <c r="N17" s="9"/>
      <c r="O17" s="9"/>
      <c r="P17" s="9"/>
      <c r="Q17" s="9"/>
      <c r="R17" s="9"/>
      <c r="S17" s="9" t="s">
        <v>126</v>
      </c>
      <c r="T17" s="6"/>
      <c r="U17" s="6"/>
      <c r="V17" s="6"/>
    </row>
    <row r="18" customFormat="false" ht="15" hidden="false" customHeight="true" outlineLevel="0" collapsed="false">
      <c r="A18" s="9" t="s">
        <v>142</v>
      </c>
      <c r="B18" s="9" t="s">
        <v>139</v>
      </c>
      <c r="C18" s="9" t="s">
        <v>91</v>
      </c>
      <c r="D18" s="9" t="s">
        <v>142</v>
      </c>
      <c r="E18" s="9" t="s">
        <v>143</v>
      </c>
      <c r="F18" s="9" t="s">
        <v>144</v>
      </c>
      <c r="G18" s="9" t="s">
        <v>93</v>
      </c>
      <c r="H18" s="9" t="n">
        <v>1</v>
      </c>
      <c r="I18" s="9" t="n">
        <v>1372.36</v>
      </c>
      <c r="J18" s="9" t="s">
        <v>94</v>
      </c>
      <c r="K18" s="9" t="s">
        <v>95</v>
      </c>
      <c r="L18" s="9" t="s">
        <v>96</v>
      </c>
      <c r="M18" s="9" t="s">
        <v>97</v>
      </c>
      <c r="N18" s="9"/>
      <c r="O18" s="9"/>
      <c r="P18" s="9"/>
      <c r="Q18" s="9"/>
      <c r="R18" s="9"/>
      <c r="S18" s="9" t="s">
        <v>121</v>
      </c>
      <c r="T18" s="6"/>
      <c r="U18" s="6"/>
      <c r="V18" s="6"/>
    </row>
    <row r="19" customFormat="false" ht="15" hidden="false" customHeight="true" outlineLevel="0" collapsed="false">
      <c r="A19" s="9" t="s">
        <v>145</v>
      </c>
      <c r="B19" s="9" t="s">
        <v>139</v>
      </c>
      <c r="C19" s="9" t="s">
        <v>91</v>
      </c>
      <c r="D19" s="9" t="s">
        <v>145</v>
      </c>
      <c r="E19" s="9" t="s">
        <v>146</v>
      </c>
      <c r="F19" s="9" t="s">
        <v>147</v>
      </c>
      <c r="G19" s="9" t="s">
        <v>93</v>
      </c>
      <c r="H19" s="9" t="n">
        <v>1</v>
      </c>
      <c r="I19" s="9" t="n">
        <v>19.95</v>
      </c>
      <c r="J19" s="9" t="s">
        <v>94</v>
      </c>
      <c r="K19" s="9" t="s">
        <v>95</v>
      </c>
      <c r="L19" s="9" t="s">
        <v>96</v>
      </c>
      <c r="M19" s="9" t="s">
        <v>97</v>
      </c>
      <c r="N19" s="9"/>
      <c r="O19" s="9"/>
      <c r="P19" s="9"/>
      <c r="Q19" s="9"/>
      <c r="R19" s="9"/>
      <c r="S19" s="9" t="s">
        <v>126</v>
      </c>
      <c r="T19" s="6"/>
      <c r="U19" s="6"/>
      <c r="V19" s="6"/>
    </row>
    <row r="20" customFormat="false" ht="15" hidden="false" customHeight="true" outlineLevel="0" collapsed="false">
      <c r="A20" s="9" t="s">
        <v>148</v>
      </c>
      <c r="B20" s="9" t="s">
        <v>149</v>
      </c>
      <c r="C20" s="9" t="s">
        <v>91</v>
      </c>
      <c r="D20" s="9" t="s">
        <v>148</v>
      </c>
      <c r="E20" s="9" t="s">
        <v>150</v>
      </c>
      <c r="F20" s="9" t="s">
        <v>151</v>
      </c>
      <c r="G20" s="9" t="s">
        <v>93</v>
      </c>
      <c r="H20" s="9" t="n">
        <v>1</v>
      </c>
      <c r="I20" s="9" t="n">
        <v>1372.36</v>
      </c>
      <c r="J20" s="9" t="s">
        <v>94</v>
      </c>
      <c r="K20" s="9" t="s">
        <v>95</v>
      </c>
      <c r="L20" s="9" t="s">
        <v>96</v>
      </c>
      <c r="M20" s="9" t="s">
        <v>97</v>
      </c>
      <c r="N20" s="9"/>
      <c r="O20" s="9"/>
      <c r="P20" s="9"/>
      <c r="Q20" s="9"/>
      <c r="R20" s="9"/>
      <c r="S20" s="9" t="s">
        <v>121</v>
      </c>
      <c r="T20" s="6"/>
      <c r="U20" s="6"/>
      <c r="V20" s="6"/>
    </row>
    <row r="21" customFormat="false" ht="15" hidden="false" customHeight="true" outlineLevel="0" collapsed="false">
      <c r="A21" s="9" t="s">
        <v>152</v>
      </c>
      <c r="B21" s="9" t="s">
        <v>153</v>
      </c>
      <c r="C21" s="9" t="s">
        <v>91</v>
      </c>
      <c r="D21" s="9" t="s">
        <v>152</v>
      </c>
      <c r="E21" s="9" t="s">
        <v>154</v>
      </c>
      <c r="F21" s="9"/>
      <c r="G21" s="9" t="s">
        <v>93</v>
      </c>
      <c r="H21" s="9" t="n">
        <v>1</v>
      </c>
      <c r="I21" s="9" t="n">
        <v>1502.89</v>
      </c>
      <c r="J21" s="9" t="s">
        <v>94</v>
      </c>
      <c r="K21" s="9" t="s">
        <v>95</v>
      </c>
      <c r="L21" s="9" t="s">
        <v>96</v>
      </c>
      <c r="M21" s="9" t="s">
        <v>97</v>
      </c>
      <c r="N21" s="9"/>
      <c r="O21" s="9"/>
      <c r="P21" s="9"/>
      <c r="Q21" s="9"/>
      <c r="R21" s="9"/>
      <c r="S21" s="9" t="s">
        <v>126</v>
      </c>
      <c r="T21" s="6"/>
      <c r="U21" s="6"/>
      <c r="V21" s="6"/>
    </row>
    <row r="22" customFormat="false" ht="15" hidden="false" customHeight="true" outlineLevel="0" collapsed="false">
      <c r="A22" s="9" t="s">
        <v>155</v>
      </c>
      <c r="B22" s="9" t="s">
        <v>156</v>
      </c>
      <c r="C22" s="9" t="s">
        <v>91</v>
      </c>
      <c r="D22" s="9" t="s">
        <v>155</v>
      </c>
      <c r="E22" s="9" t="s">
        <v>157</v>
      </c>
      <c r="F22" s="9" t="s">
        <v>158</v>
      </c>
      <c r="G22" s="9" t="s">
        <v>93</v>
      </c>
      <c r="H22" s="9" t="n">
        <v>1</v>
      </c>
      <c r="I22" s="9" t="n">
        <v>1396.49</v>
      </c>
      <c r="J22" s="9" t="s">
        <v>94</v>
      </c>
      <c r="K22" s="9" t="s">
        <v>95</v>
      </c>
      <c r="L22" s="9" t="s">
        <v>96</v>
      </c>
      <c r="M22" s="9" t="s">
        <v>97</v>
      </c>
      <c r="N22" s="9"/>
      <c r="O22" s="9"/>
      <c r="P22" s="9"/>
      <c r="Q22" s="9"/>
      <c r="R22" s="9"/>
      <c r="S22" s="9" t="s">
        <v>126</v>
      </c>
      <c r="T22" s="6"/>
      <c r="U22" s="6"/>
      <c r="V22" s="6"/>
    </row>
    <row r="23" customFormat="false" ht="15" hidden="false" customHeight="true" outlineLevel="0" collapsed="false">
      <c r="A23" s="9" t="s">
        <v>159</v>
      </c>
      <c r="B23" s="9" t="s">
        <v>160</v>
      </c>
      <c r="C23" s="9" t="s">
        <v>91</v>
      </c>
      <c r="D23" s="9" t="s">
        <v>159</v>
      </c>
      <c r="E23" s="9" t="s">
        <v>161</v>
      </c>
      <c r="F23" s="9" t="s">
        <v>162</v>
      </c>
      <c r="G23" s="9" t="s">
        <v>93</v>
      </c>
      <c r="H23" s="9" t="n">
        <v>1</v>
      </c>
      <c r="I23" s="9" t="n">
        <v>1346.46</v>
      </c>
      <c r="J23" s="9" t="s">
        <v>94</v>
      </c>
      <c r="K23" s="9" t="s">
        <v>95</v>
      </c>
      <c r="L23" s="9" t="s">
        <v>96</v>
      </c>
      <c r="M23" s="9" t="s">
        <v>97</v>
      </c>
      <c r="N23" s="9"/>
      <c r="O23" s="9"/>
      <c r="P23" s="9"/>
      <c r="Q23" s="9"/>
      <c r="R23" s="9"/>
      <c r="S23" s="9" t="s">
        <v>121</v>
      </c>
      <c r="T23" s="6"/>
      <c r="U23" s="6"/>
      <c r="V23" s="6"/>
    </row>
    <row r="24" customFormat="false" ht="15" hidden="false" customHeight="true" outlineLevel="0" collapsed="false">
      <c r="A24" s="9" t="s">
        <v>163</v>
      </c>
      <c r="B24" s="9" t="s">
        <v>160</v>
      </c>
      <c r="C24" s="9" t="s">
        <v>91</v>
      </c>
      <c r="D24" s="9" t="s">
        <v>163</v>
      </c>
      <c r="E24" s="9" t="s">
        <v>164</v>
      </c>
      <c r="F24" s="9" t="s">
        <v>165</v>
      </c>
      <c r="G24" s="9" t="s">
        <v>93</v>
      </c>
      <c r="H24" s="9" t="n">
        <v>1</v>
      </c>
      <c r="I24" s="9" t="n">
        <v>19.78</v>
      </c>
      <c r="J24" s="9" t="s">
        <v>94</v>
      </c>
      <c r="K24" s="9" t="s">
        <v>95</v>
      </c>
      <c r="L24" s="9" t="s">
        <v>96</v>
      </c>
      <c r="M24" s="9" t="s">
        <v>97</v>
      </c>
      <c r="N24" s="9"/>
      <c r="O24" s="9"/>
      <c r="P24" s="9"/>
      <c r="Q24" s="9" t="s">
        <v>166</v>
      </c>
      <c r="R24" s="9" t="s">
        <v>167</v>
      </c>
      <c r="S24" s="9" t="s">
        <v>126</v>
      </c>
      <c r="T24" s="6"/>
      <c r="U24" s="6"/>
      <c r="V24" s="6"/>
    </row>
    <row r="25" customFormat="false" ht="15" hidden="false" customHeight="true" outlineLevel="0" collapsed="false">
      <c r="A25" s="9" t="s">
        <v>168</v>
      </c>
      <c r="B25" s="9" t="s">
        <v>169</v>
      </c>
      <c r="C25" s="9" t="s">
        <v>91</v>
      </c>
      <c r="D25" s="9" t="s">
        <v>168</v>
      </c>
      <c r="E25" s="9" t="s">
        <v>170</v>
      </c>
      <c r="F25" s="9" t="s">
        <v>171</v>
      </c>
      <c r="G25" s="9" t="s">
        <v>93</v>
      </c>
      <c r="H25" s="9" t="n">
        <v>1</v>
      </c>
      <c r="I25" s="9" t="n">
        <v>1351.17</v>
      </c>
      <c r="J25" s="9" t="s">
        <v>94</v>
      </c>
      <c r="K25" s="9" t="s">
        <v>95</v>
      </c>
      <c r="L25" s="9" t="s">
        <v>96</v>
      </c>
      <c r="M25" s="9" t="s">
        <v>97</v>
      </c>
      <c r="N25" s="9"/>
      <c r="O25" s="9"/>
      <c r="P25" s="9"/>
      <c r="Q25" s="9"/>
      <c r="R25" s="9"/>
      <c r="S25" s="9" t="s">
        <v>121</v>
      </c>
      <c r="T25" s="6"/>
      <c r="U25" s="6"/>
      <c r="V25" s="6"/>
    </row>
    <row r="26" customFormat="false" ht="15" hidden="false" customHeight="true" outlineLevel="0" collapsed="false">
      <c r="A26" s="9" t="s">
        <v>172</v>
      </c>
      <c r="B26" s="9" t="s">
        <v>173</v>
      </c>
      <c r="C26" s="9" t="s">
        <v>91</v>
      </c>
      <c r="D26" s="9" t="s">
        <v>172</v>
      </c>
      <c r="E26" s="9" t="s">
        <v>174</v>
      </c>
      <c r="F26" s="9"/>
      <c r="G26" s="9" t="s">
        <v>93</v>
      </c>
      <c r="H26" s="9" t="n">
        <v>1</v>
      </c>
      <c r="I26" s="9" t="n">
        <v>0</v>
      </c>
      <c r="J26" s="9" t="s">
        <v>94</v>
      </c>
      <c r="K26" s="9" t="s">
        <v>112</v>
      </c>
      <c r="L26" s="9" t="s">
        <v>96</v>
      </c>
      <c r="M26" s="9" t="s">
        <v>113</v>
      </c>
      <c r="N26" s="9"/>
      <c r="O26" s="9"/>
      <c r="P26" s="9"/>
      <c r="Q26" s="9" t="s">
        <v>173</v>
      </c>
      <c r="R26" s="9"/>
      <c r="S26" s="9" t="s">
        <v>126</v>
      </c>
      <c r="T26" s="6"/>
      <c r="U26" s="6"/>
      <c r="V26" s="6"/>
    </row>
    <row r="27" customFormat="false" ht="15" hidden="false" customHeight="true" outlineLevel="0" collapsed="false">
      <c r="A27" s="9" t="s">
        <v>175</v>
      </c>
      <c r="B27" s="9" t="s">
        <v>176</v>
      </c>
      <c r="C27" s="9" t="s">
        <v>91</v>
      </c>
      <c r="D27" s="9" t="s">
        <v>175</v>
      </c>
      <c r="E27" s="9" t="s">
        <v>177</v>
      </c>
      <c r="F27" s="9" t="s">
        <v>178</v>
      </c>
      <c r="G27" s="9" t="s">
        <v>93</v>
      </c>
      <c r="H27" s="9" t="n">
        <v>1</v>
      </c>
      <c r="I27" s="9" t="n">
        <v>1336.32</v>
      </c>
      <c r="J27" s="9" t="s">
        <v>94</v>
      </c>
      <c r="K27" s="9" t="s">
        <v>95</v>
      </c>
      <c r="L27" s="9" t="s">
        <v>96</v>
      </c>
      <c r="M27" s="9" t="s">
        <v>97</v>
      </c>
      <c r="N27" s="9"/>
      <c r="O27" s="9"/>
      <c r="P27" s="9"/>
      <c r="Q27" s="9"/>
      <c r="R27" s="9"/>
      <c r="S27" s="9" t="s">
        <v>121</v>
      </c>
      <c r="T27" s="6"/>
      <c r="U27" s="6"/>
      <c r="V27" s="6"/>
    </row>
    <row r="28" customFormat="false" ht="15" hidden="false" customHeight="true" outlineLevel="0" collapsed="false">
      <c r="A28" s="9" t="s">
        <v>179</v>
      </c>
      <c r="B28" s="9" t="s">
        <v>180</v>
      </c>
      <c r="C28" s="9" t="s">
        <v>91</v>
      </c>
      <c r="D28" s="9" t="s">
        <v>179</v>
      </c>
      <c r="E28" s="9" t="s">
        <v>181</v>
      </c>
      <c r="F28" s="9" t="s">
        <v>182</v>
      </c>
      <c r="G28" s="9" t="s">
        <v>93</v>
      </c>
      <c r="H28" s="9" t="n">
        <v>1</v>
      </c>
      <c r="I28" s="9" t="n">
        <v>999.61</v>
      </c>
      <c r="J28" s="9" t="s">
        <v>94</v>
      </c>
      <c r="K28" s="9" t="s">
        <v>112</v>
      </c>
      <c r="L28" s="9" t="s">
        <v>96</v>
      </c>
      <c r="M28" s="9" t="s">
        <v>113</v>
      </c>
      <c r="N28" s="9"/>
      <c r="O28" s="9"/>
      <c r="P28" s="9"/>
      <c r="Q28" s="9" t="s">
        <v>180</v>
      </c>
      <c r="R28" s="9" t="s">
        <v>183</v>
      </c>
      <c r="S28" s="9" t="s">
        <v>121</v>
      </c>
      <c r="T28" s="6"/>
      <c r="U28" s="6"/>
      <c r="V28" s="6"/>
    </row>
    <row r="29" customFormat="false" ht="15" hidden="false" customHeight="true" outlineLevel="0" collapsed="false">
      <c r="A29" s="9" t="s">
        <v>184</v>
      </c>
      <c r="B29" s="9" t="s">
        <v>185</v>
      </c>
      <c r="C29" s="9" t="s">
        <v>91</v>
      </c>
      <c r="D29" s="9" t="s">
        <v>184</v>
      </c>
      <c r="E29" s="9" t="s">
        <v>186</v>
      </c>
      <c r="F29" s="9" t="s">
        <v>187</v>
      </c>
      <c r="G29" s="9" t="s">
        <v>93</v>
      </c>
      <c r="H29" s="9" t="n">
        <v>1</v>
      </c>
      <c r="I29" s="9" t="n">
        <v>1023.44</v>
      </c>
      <c r="J29" s="9" t="s">
        <v>94</v>
      </c>
      <c r="K29" s="9" t="s">
        <v>112</v>
      </c>
      <c r="L29" s="9" t="s">
        <v>96</v>
      </c>
      <c r="M29" s="9" t="s">
        <v>113</v>
      </c>
      <c r="N29" s="9"/>
      <c r="O29" s="9"/>
      <c r="P29" s="9"/>
      <c r="Q29" s="9" t="s">
        <v>185</v>
      </c>
      <c r="R29" s="9" t="s">
        <v>188</v>
      </c>
      <c r="S29" s="9" t="s">
        <v>121</v>
      </c>
      <c r="T29" s="6"/>
      <c r="U29" s="6"/>
      <c r="V29" s="6"/>
    </row>
    <row r="30" customFormat="false" ht="15" hidden="false" customHeight="true" outlineLevel="0" collapsed="false">
      <c r="A30" s="9" t="s">
        <v>189</v>
      </c>
      <c r="B30" s="9" t="s">
        <v>185</v>
      </c>
      <c r="C30" s="9" t="s">
        <v>91</v>
      </c>
      <c r="D30" s="9" t="s">
        <v>189</v>
      </c>
      <c r="E30" s="9" t="s">
        <v>190</v>
      </c>
      <c r="F30" s="9" t="s">
        <v>191</v>
      </c>
      <c r="G30" s="9" t="s">
        <v>93</v>
      </c>
      <c r="H30" s="9" t="n">
        <v>1</v>
      </c>
      <c r="I30" s="9" t="n">
        <v>1023.44</v>
      </c>
      <c r="J30" s="9" t="s">
        <v>94</v>
      </c>
      <c r="K30" s="9" t="s">
        <v>112</v>
      </c>
      <c r="L30" s="9" t="s">
        <v>96</v>
      </c>
      <c r="M30" s="9" t="s">
        <v>113</v>
      </c>
      <c r="N30" s="9"/>
      <c r="O30" s="9"/>
      <c r="P30" s="9"/>
      <c r="Q30" s="9" t="s">
        <v>185</v>
      </c>
      <c r="R30" s="9" t="s">
        <v>192</v>
      </c>
      <c r="S30" s="9" t="s">
        <v>121</v>
      </c>
      <c r="T30" s="6"/>
      <c r="U30" s="6"/>
      <c r="V30" s="6"/>
    </row>
    <row r="31" customFormat="false" ht="15" hidden="false" customHeight="true" outlineLevel="0" collapsed="false">
      <c r="A31" s="9" t="s">
        <v>193</v>
      </c>
      <c r="B31" s="9" t="s">
        <v>194</v>
      </c>
      <c r="C31" s="9" t="s">
        <v>91</v>
      </c>
      <c r="D31" s="9" t="s">
        <v>193</v>
      </c>
      <c r="E31" s="9" t="s">
        <v>195</v>
      </c>
      <c r="F31" s="9" t="s">
        <v>196</v>
      </c>
      <c r="G31" s="9" t="s">
        <v>93</v>
      </c>
      <c r="H31" s="9" t="n">
        <v>1</v>
      </c>
      <c r="I31" s="9" t="n">
        <v>1022.27</v>
      </c>
      <c r="J31" s="9" t="s">
        <v>94</v>
      </c>
      <c r="K31" s="9" t="s">
        <v>112</v>
      </c>
      <c r="L31" s="9" t="s">
        <v>96</v>
      </c>
      <c r="M31" s="9" t="s">
        <v>113</v>
      </c>
      <c r="N31" s="9"/>
      <c r="O31" s="9"/>
      <c r="P31" s="9"/>
      <c r="Q31" s="9" t="s">
        <v>194</v>
      </c>
      <c r="R31" s="9" t="s">
        <v>197</v>
      </c>
      <c r="S31" s="9" t="s">
        <v>121</v>
      </c>
      <c r="T31" s="6"/>
      <c r="U31" s="6"/>
      <c r="V31" s="6"/>
    </row>
    <row r="32" customFormat="false" ht="15" hidden="false" customHeight="true" outlineLevel="0" collapsed="false">
      <c r="A32" s="9" t="s">
        <v>198</v>
      </c>
      <c r="B32" s="9" t="s">
        <v>194</v>
      </c>
      <c r="C32" s="9" t="s">
        <v>91</v>
      </c>
      <c r="D32" s="9" t="s">
        <v>198</v>
      </c>
      <c r="E32" s="9" t="s">
        <v>128</v>
      </c>
      <c r="F32" s="9"/>
      <c r="G32" s="9" t="s">
        <v>93</v>
      </c>
      <c r="H32" s="9" t="n">
        <v>1</v>
      </c>
      <c r="I32" s="9" t="n">
        <v>43.74</v>
      </c>
      <c r="J32" s="9" t="s">
        <v>94</v>
      </c>
      <c r="K32" s="9" t="s">
        <v>112</v>
      </c>
      <c r="L32" s="9" t="s">
        <v>96</v>
      </c>
      <c r="M32" s="9" t="s">
        <v>113</v>
      </c>
      <c r="N32" s="9"/>
      <c r="O32" s="9"/>
      <c r="P32" s="9"/>
      <c r="Q32" s="9" t="s">
        <v>194</v>
      </c>
      <c r="R32" s="9"/>
      <c r="S32" s="9" t="s">
        <v>129</v>
      </c>
      <c r="T32" s="6"/>
      <c r="U32" s="6"/>
      <c r="V32" s="6"/>
    </row>
    <row r="33" customFormat="false" ht="15" hidden="false" customHeight="true" outlineLevel="0" collapsed="false">
      <c r="A33" s="9" t="s">
        <v>199</v>
      </c>
      <c r="B33" s="9" t="s">
        <v>200</v>
      </c>
      <c r="C33" s="9" t="s">
        <v>91</v>
      </c>
      <c r="D33" s="9" t="s">
        <v>199</v>
      </c>
      <c r="E33" s="9" t="s">
        <v>201</v>
      </c>
      <c r="F33" s="9"/>
      <c r="G33" s="9" t="s">
        <v>93</v>
      </c>
      <c r="H33" s="9" t="n">
        <v>1</v>
      </c>
      <c r="I33" s="9" t="n">
        <v>1129.99</v>
      </c>
      <c r="J33" s="9" t="s">
        <v>94</v>
      </c>
      <c r="K33" s="9" t="s">
        <v>112</v>
      </c>
      <c r="L33" s="9" t="s">
        <v>96</v>
      </c>
      <c r="M33" s="9" t="s">
        <v>113</v>
      </c>
      <c r="N33" s="9"/>
      <c r="O33" s="9"/>
      <c r="P33" s="9"/>
      <c r="Q33" s="9" t="s">
        <v>200</v>
      </c>
      <c r="R33" s="9"/>
      <c r="S33" s="9" t="s">
        <v>126</v>
      </c>
      <c r="T33" s="6"/>
      <c r="U33" s="6"/>
      <c r="V33" s="6"/>
    </row>
    <row r="34" customFormat="false" ht="15" hidden="false" customHeight="true" outlineLevel="0" collapsed="false">
      <c r="A34" s="9" t="s">
        <v>202</v>
      </c>
      <c r="B34" s="9" t="s">
        <v>203</v>
      </c>
      <c r="C34" s="9" t="s">
        <v>91</v>
      </c>
      <c r="D34" s="9" t="s">
        <v>202</v>
      </c>
      <c r="E34" s="9" t="s">
        <v>133</v>
      </c>
      <c r="F34" s="9"/>
      <c r="G34" s="9" t="s">
        <v>93</v>
      </c>
      <c r="H34" s="9" t="n">
        <v>1</v>
      </c>
      <c r="I34" s="9" t="n">
        <v>131.25</v>
      </c>
      <c r="J34" s="9" t="s">
        <v>94</v>
      </c>
      <c r="K34" s="9" t="s">
        <v>112</v>
      </c>
      <c r="L34" s="9" t="s">
        <v>96</v>
      </c>
      <c r="M34" s="9" t="s">
        <v>113</v>
      </c>
      <c r="N34" s="9"/>
      <c r="O34" s="9"/>
      <c r="P34" s="9"/>
      <c r="Q34" s="9" t="s">
        <v>203</v>
      </c>
      <c r="R34" s="9"/>
      <c r="S34" s="9" t="s">
        <v>126</v>
      </c>
      <c r="T34" s="6"/>
      <c r="U34" s="6"/>
      <c r="V34" s="6"/>
    </row>
    <row r="35" customFormat="false" ht="15" hidden="false" customHeight="true" outlineLevel="0" collapsed="false">
      <c r="A35" s="9" t="s">
        <v>204</v>
      </c>
      <c r="B35" s="9" t="s">
        <v>203</v>
      </c>
      <c r="C35" s="9" t="s">
        <v>91</v>
      </c>
      <c r="D35" s="9" t="s">
        <v>204</v>
      </c>
      <c r="E35" s="9" t="s">
        <v>205</v>
      </c>
      <c r="F35" s="9" t="s">
        <v>206</v>
      </c>
      <c r="G35" s="9" t="s">
        <v>93</v>
      </c>
      <c r="H35" s="9" t="n">
        <v>1</v>
      </c>
      <c r="I35" s="9" t="n">
        <v>1007.06</v>
      </c>
      <c r="J35" s="9" t="s">
        <v>94</v>
      </c>
      <c r="K35" s="9" t="s">
        <v>112</v>
      </c>
      <c r="L35" s="9" t="s">
        <v>96</v>
      </c>
      <c r="M35" s="9" t="s">
        <v>113</v>
      </c>
      <c r="N35" s="9"/>
      <c r="O35" s="9"/>
      <c r="P35" s="9"/>
      <c r="Q35" s="9" t="s">
        <v>203</v>
      </c>
      <c r="R35" s="9" t="s">
        <v>207</v>
      </c>
      <c r="S35" s="9" t="s">
        <v>121</v>
      </c>
      <c r="T35" s="6"/>
      <c r="U35" s="6"/>
      <c r="V35" s="6"/>
    </row>
    <row r="36" customFormat="false" ht="15" hidden="false" customHeight="true" outlineLevel="0" collapsed="false">
      <c r="A36" s="9" t="s">
        <v>208</v>
      </c>
      <c r="B36" s="9" t="s">
        <v>203</v>
      </c>
      <c r="C36" s="9" t="s">
        <v>91</v>
      </c>
      <c r="D36" s="9" t="s">
        <v>208</v>
      </c>
      <c r="E36" s="9" t="s">
        <v>209</v>
      </c>
      <c r="F36" s="9" t="s">
        <v>210</v>
      </c>
      <c r="G36" s="9" t="s">
        <v>93</v>
      </c>
      <c r="H36" s="9" t="n">
        <v>1</v>
      </c>
      <c r="I36" s="9" t="n">
        <v>1026.43</v>
      </c>
      <c r="J36" s="9" t="s">
        <v>94</v>
      </c>
      <c r="K36" s="9" t="s">
        <v>112</v>
      </c>
      <c r="L36" s="9" t="s">
        <v>96</v>
      </c>
      <c r="M36" s="9" t="s">
        <v>113</v>
      </c>
      <c r="N36" s="9"/>
      <c r="O36" s="9"/>
      <c r="P36" s="9"/>
      <c r="Q36" s="9" t="s">
        <v>203</v>
      </c>
      <c r="R36" s="9" t="s">
        <v>211</v>
      </c>
      <c r="S36" s="9" t="s">
        <v>121</v>
      </c>
      <c r="T36" s="6"/>
      <c r="U36" s="6"/>
      <c r="V36" s="6"/>
    </row>
    <row r="37" customFormat="false" ht="15" hidden="false" customHeight="true" outlineLevel="0" collapsed="false">
      <c r="A37" s="9" t="s">
        <v>212</v>
      </c>
      <c r="B37" s="9" t="s">
        <v>213</v>
      </c>
      <c r="C37" s="9" t="s">
        <v>91</v>
      </c>
      <c r="D37" s="9" t="s">
        <v>212</v>
      </c>
      <c r="E37" s="9" t="s">
        <v>214</v>
      </c>
      <c r="F37" s="9" t="s">
        <v>215</v>
      </c>
      <c r="G37" s="9" t="s">
        <v>93</v>
      </c>
      <c r="H37" s="9" t="n">
        <v>1</v>
      </c>
      <c r="I37" s="9" t="n">
        <v>1008.01</v>
      </c>
      <c r="J37" s="9" t="s">
        <v>94</v>
      </c>
      <c r="K37" s="9" t="s">
        <v>112</v>
      </c>
      <c r="L37" s="9" t="s">
        <v>96</v>
      </c>
      <c r="M37" s="9" t="s">
        <v>113</v>
      </c>
      <c r="N37" s="9"/>
      <c r="O37" s="9"/>
      <c r="P37" s="9"/>
      <c r="Q37" s="9" t="s">
        <v>213</v>
      </c>
      <c r="R37" s="9" t="s">
        <v>216</v>
      </c>
      <c r="S37" s="9" t="s">
        <v>121</v>
      </c>
      <c r="T37" s="6"/>
      <c r="U37" s="6"/>
      <c r="V37" s="6"/>
    </row>
    <row r="38" customFormat="false" ht="15" hidden="false" customHeight="true" outlineLevel="0" collapsed="false">
      <c r="A38" s="9" t="s">
        <v>217</v>
      </c>
      <c r="B38" s="9" t="s">
        <v>218</v>
      </c>
      <c r="C38" s="9" t="s">
        <v>91</v>
      </c>
      <c r="D38" s="9" t="s">
        <v>217</v>
      </c>
      <c r="E38" s="9" t="s">
        <v>219</v>
      </c>
      <c r="F38" s="9" t="s">
        <v>220</v>
      </c>
      <c r="G38" s="9" t="s">
        <v>93</v>
      </c>
      <c r="H38" s="9" t="n">
        <v>1</v>
      </c>
      <c r="I38" s="9" t="n">
        <v>1006.76</v>
      </c>
      <c r="J38" s="9" t="s">
        <v>94</v>
      </c>
      <c r="K38" s="9" t="s">
        <v>112</v>
      </c>
      <c r="L38" s="9" t="s">
        <v>96</v>
      </c>
      <c r="M38" s="9" t="s">
        <v>113</v>
      </c>
      <c r="N38" s="9"/>
      <c r="O38" s="9"/>
      <c r="P38" s="9"/>
      <c r="Q38" s="9" t="s">
        <v>218</v>
      </c>
      <c r="R38" s="9" t="s">
        <v>221</v>
      </c>
      <c r="S38" s="9" t="s">
        <v>121</v>
      </c>
      <c r="T38" s="6"/>
      <c r="U38" s="6"/>
      <c r="V38" s="6"/>
    </row>
    <row r="39" customFormat="false" ht="15" hidden="false" customHeight="true" outlineLevel="0" collapsed="false">
      <c r="A39" s="9" t="s">
        <v>222</v>
      </c>
      <c r="B39" s="9" t="s">
        <v>218</v>
      </c>
      <c r="C39" s="9" t="s">
        <v>91</v>
      </c>
      <c r="D39" s="9" t="s">
        <v>222</v>
      </c>
      <c r="E39" s="9" t="s">
        <v>223</v>
      </c>
      <c r="F39" s="9" t="s">
        <v>224</v>
      </c>
      <c r="G39" s="9" t="s">
        <v>93</v>
      </c>
      <c r="H39" s="9" t="n">
        <v>1</v>
      </c>
      <c r="I39" s="9" t="n">
        <v>1107.39</v>
      </c>
      <c r="J39" s="9" t="s">
        <v>94</v>
      </c>
      <c r="K39" s="9" t="s">
        <v>112</v>
      </c>
      <c r="L39" s="9" t="s">
        <v>96</v>
      </c>
      <c r="M39" s="9" t="s">
        <v>113</v>
      </c>
      <c r="N39" s="9"/>
      <c r="O39" s="9"/>
      <c r="P39" s="9"/>
      <c r="Q39" s="9" t="s">
        <v>218</v>
      </c>
      <c r="R39" s="9" t="s">
        <v>225</v>
      </c>
      <c r="S39" s="9" t="s">
        <v>126</v>
      </c>
      <c r="T39" s="6"/>
      <c r="U39" s="6"/>
      <c r="V39" s="6"/>
    </row>
    <row r="40" customFormat="false" ht="15" hidden="false" customHeight="true" outlineLevel="0" collapsed="false">
      <c r="A40" s="9" t="s">
        <v>226</v>
      </c>
      <c r="B40" s="9" t="s">
        <v>227</v>
      </c>
      <c r="C40" s="9" t="s">
        <v>91</v>
      </c>
      <c r="D40" s="9" t="s">
        <v>226</v>
      </c>
      <c r="E40" s="9" t="s">
        <v>228</v>
      </c>
      <c r="F40" s="9" t="s">
        <v>229</v>
      </c>
      <c r="G40" s="9" t="s">
        <v>93</v>
      </c>
      <c r="H40" s="9" t="n">
        <v>1</v>
      </c>
      <c r="I40" s="9" t="n">
        <v>1049.99</v>
      </c>
      <c r="J40" s="9" t="s">
        <v>94</v>
      </c>
      <c r="K40" s="9" t="s">
        <v>95</v>
      </c>
      <c r="L40" s="9" t="s">
        <v>96</v>
      </c>
      <c r="M40" s="9" t="s">
        <v>97</v>
      </c>
      <c r="N40" s="9"/>
      <c r="O40" s="9"/>
      <c r="P40" s="9"/>
      <c r="Q40" s="9"/>
      <c r="R40" s="9"/>
      <c r="S40" s="9" t="s">
        <v>126</v>
      </c>
      <c r="T40" s="6"/>
      <c r="U40" s="6"/>
      <c r="V40" s="6"/>
    </row>
    <row r="41" customFormat="false" ht="15" hidden="false" customHeight="true" outlineLevel="0" collapsed="false">
      <c r="A41" s="9" t="s">
        <v>230</v>
      </c>
      <c r="B41" s="9" t="s">
        <v>227</v>
      </c>
      <c r="C41" s="9" t="s">
        <v>91</v>
      </c>
      <c r="D41" s="9" t="s">
        <v>230</v>
      </c>
      <c r="E41" s="9" t="s">
        <v>231</v>
      </c>
      <c r="F41" s="9" t="s">
        <v>232</v>
      </c>
      <c r="G41" s="9" t="s">
        <v>93</v>
      </c>
      <c r="H41" s="9" t="n">
        <v>1</v>
      </c>
      <c r="I41" s="9" t="n">
        <v>1026.36</v>
      </c>
      <c r="J41" s="9" t="s">
        <v>94</v>
      </c>
      <c r="K41" s="9" t="s">
        <v>112</v>
      </c>
      <c r="L41" s="9" t="s">
        <v>96</v>
      </c>
      <c r="M41" s="9" t="s">
        <v>113</v>
      </c>
      <c r="N41" s="9"/>
      <c r="O41" s="9"/>
      <c r="P41" s="9"/>
      <c r="Q41" s="9" t="s">
        <v>227</v>
      </c>
      <c r="R41" s="9" t="s">
        <v>233</v>
      </c>
      <c r="S41" s="9" t="s">
        <v>121</v>
      </c>
      <c r="T41" s="6"/>
      <c r="U41" s="6"/>
      <c r="V41" s="6"/>
    </row>
    <row r="42" customFormat="false" ht="15" hidden="false" customHeight="true" outlineLevel="0" collapsed="false">
      <c r="A42" s="9" t="s">
        <v>234</v>
      </c>
      <c r="B42" s="9" t="s">
        <v>227</v>
      </c>
      <c r="C42" s="9" t="s">
        <v>91</v>
      </c>
      <c r="D42" s="9" t="s">
        <v>234</v>
      </c>
      <c r="E42" s="9" t="s">
        <v>235</v>
      </c>
      <c r="F42" s="9" t="s">
        <v>236</v>
      </c>
      <c r="G42" s="9" t="s">
        <v>93</v>
      </c>
      <c r="H42" s="9" t="n">
        <v>1</v>
      </c>
      <c r="I42" s="9" t="n">
        <v>1005.96</v>
      </c>
      <c r="J42" s="9" t="s">
        <v>94</v>
      </c>
      <c r="K42" s="9" t="s">
        <v>112</v>
      </c>
      <c r="L42" s="9" t="s">
        <v>96</v>
      </c>
      <c r="M42" s="9" t="s">
        <v>113</v>
      </c>
      <c r="N42" s="9"/>
      <c r="O42" s="9"/>
      <c r="P42" s="9"/>
      <c r="Q42" s="9" t="s">
        <v>227</v>
      </c>
      <c r="R42" s="9" t="s">
        <v>237</v>
      </c>
      <c r="S42" s="9" t="s">
        <v>121</v>
      </c>
      <c r="T42" s="6"/>
      <c r="U42" s="6"/>
      <c r="V42" s="6"/>
    </row>
    <row r="43" customFormat="false" ht="15" hidden="false" customHeight="true" outlineLevel="0" collapsed="false">
      <c r="A43" s="9" t="s">
        <v>238</v>
      </c>
      <c r="B43" s="9" t="s">
        <v>239</v>
      </c>
      <c r="C43" s="9" t="s">
        <v>91</v>
      </c>
      <c r="D43" s="9" t="s">
        <v>238</v>
      </c>
      <c r="E43" s="9" t="s">
        <v>240</v>
      </c>
      <c r="F43" s="9" t="s">
        <v>241</v>
      </c>
      <c r="G43" s="9" t="s">
        <v>93</v>
      </c>
      <c r="H43" s="9" t="n">
        <v>1</v>
      </c>
      <c r="I43" s="9" t="n">
        <v>1028.99</v>
      </c>
      <c r="J43" s="9" t="s">
        <v>94</v>
      </c>
      <c r="K43" s="9" t="s">
        <v>112</v>
      </c>
      <c r="L43" s="9" t="s">
        <v>96</v>
      </c>
      <c r="M43" s="9" t="s">
        <v>113</v>
      </c>
      <c r="N43" s="9"/>
      <c r="O43" s="9"/>
      <c r="P43" s="9"/>
      <c r="Q43" s="9" t="s">
        <v>239</v>
      </c>
      <c r="R43" s="9" t="s">
        <v>242</v>
      </c>
      <c r="S43" s="9" t="s">
        <v>126</v>
      </c>
      <c r="T43" s="6"/>
      <c r="U43" s="6"/>
      <c r="V43" s="6"/>
    </row>
    <row r="44" customFormat="false" ht="15" hidden="false" customHeight="true" outlineLevel="0" collapsed="false">
      <c r="A44" s="9" t="s">
        <v>243</v>
      </c>
      <c r="B44" s="9" t="s">
        <v>244</v>
      </c>
      <c r="C44" s="9" t="s">
        <v>91</v>
      </c>
      <c r="D44" s="9" t="s">
        <v>243</v>
      </c>
      <c r="E44" s="9" t="s">
        <v>245</v>
      </c>
      <c r="F44" s="9" t="s">
        <v>246</v>
      </c>
      <c r="G44" s="9" t="s">
        <v>93</v>
      </c>
      <c r="H44" s="9" t="n">
        <v>1</v>
      </c>
      <c r="I44" s="9" t="n">
        <v>1006.97</v>
      </c>
      <c r="J44" s="9" t="s">
        <v>94</v>
      </c>
      <c r="K44" s="9" t="s">
        <v>112</v>
      </c>
      <c r="L44" s="9" t="s">
        <v>96</v>
      </c>
      <c r="M44" s="9" t="s">
        <v>113</v>
      </c>
      <c r="N44" s="9"/>
      <c r="O44" s="9"/>
      <c r="P44" s="9"/>
      <c r="Q44" s="9" t="s">
        <v>244</v>
      </c>
      <c r="R44" s="9" t="s">
        <v>247</v>
      </c>
      <c r="S44" s="9" t="s">
        <v>248</v>
      </c>
      <c r="T44" s="6"/>
      <c r="U44" s="6"/>
      <c r="V44" s="6"/>
    </row>
    <row r="45" customFormat="false" ht="15" hidden="false" customHeight="true" outlineLevel="0" collapsed="false">
      <c r="A45" s="9" t="s">
        <v>249</v>
      </c>
      <c r="B45" s="9" t="s">
        <v>244</v>
      </c>
      <c r="C45" s="9" t="s">
        <v>91</v>
      </c>
      <c r="D45" s="9" t="s">
        <v>249</v>
      </c>
      <c r="E45" s="9" t="s">
        <v>250</v>
      </c>
      <c r="F45" s="9" t="s">
        <v>251</v>
      </c>
      <c r="G45" s="9" t="s">
        <v>93</v>
      </c>
      <c r="H45" s="9" t="n">
        <v>1</v>
      </c>
      <c r="I45" s="9" t="n">
        <v>1049.99</v>
      </c>
      <c r="J45" s="9" t="s">
        <v>94</v>
      </c>
      <c r="K45" s="9" t="s">
        <v>95</v>
      </c>
      <c r="L45" s="9" t="s">
        <v>96</v>
      </c>
      <c r="M45" s="9" t="s">
        <v>97</v>
      </c>
      <c r="N45" s="9"/>
      <c r="O45" s="9"/>
      <c r="P45" s="9"/>
      <c r="Q45" s="9"/>
      <c r="R45" s="9"/>
      <c r="S45" s="9" t="s">
        <v>126</v>
      </c>
      <c r="T45" s="6"/>
      <c r="U45" s="6"/>
      <c r="V45" s="6"/>
    </row>
    <row r="46" customFormat="false" ht="15" hidden="false" customHeight="true" outlineLevel="0" collapsed="false">
      <c r="A46" s="9" t="s">
        <v>252</v>
      </c>
      <c r="B46" s="9" t="s">
        <v>253</v>
      </c>
      <c r="C46" s="9" t="s">
        <v>91</v>
      </c>
      <c r="D46" s="9" t="s">
        <v>252</v>
      </c>
      <c r="E46" s="9" t="s">
        <v>254</v>
      </c>
      <c r="F46" s="9" t="s">
        <v>255</v>
      </c>
      <c r="G46" s="9" t="s">
        <v>93</v>
      </c>
      <c r="H46" s="9" t="n">
        <v>1</v>
      </c>
      <c r="I46" s="9" t="n">
        <v>1001.65</v>
      </c>
      <c r="J46" s="9" t="s">
        <v>94</v>
      </c>
      <c r="K46" s="9" t="s">
        <v>112</v>
      </c>
      <c r="L46" s="9" t="s">
        <v>96</v>
      </c>
      <c r="M46" s="9" t="s">
        <v>113</v>
      </c>
      <c r="N46" s="9"/>
      <c r="O46" s="9"/>
      <c r="P46" s="9"/>
      <c r="Q46" s="9" t="s">
        <v>253</v>
      </c>
      <c r="R46" s="9" t="s">
        <v>256</v>
      </c>
      <c r="S46" s="9" t="s">
        <v>121</v>
      </c>
      <c r="T46" s="6"/>
      <c r="U46" s="6"/>
      <c r="V46" s="6"/>
    </row>
    <row r="47" customFormat="false" ht="15" hidden="false" customHeight="true" outlineLevel="0" collapsed="false">
      <c r="A47" s="9" t="s">
        <v>257</v>
      </c>
      <c r="B47" s="9" t="s">
        <v>258</v>
      </c>
      <c r="C47" s="9" t="s">
        <v>91</v>
      </c>
      <c r="D47" s="9" t="s">
        <v>257</v>
      </c>
      <c r="E47" s="9" t="s">
        <v>259</v>
      </c>
      <c r="F47" s="9" t="s">
        <v>260</v>
      </c>
      <c r="G47" s="9" t="s">
        <v>93</v>
      </c>
      <c r="H47" s="9" t="n">
        <v>1</v>
      </c>
      <c r="I47" s="9" t="n">
        <v>1024.49</v>
      </c>
      <c r="J47" s="9" t="s">
        <v>94</v>
      </c>
      <c r="K47" s="9" t="s">
        <v>112</v>
      </c>
      <c r="L47" s="9" t="s">
        <v>96</v>
      </c>
      <c r="M47" s="9" t="s">
        <v>113</v>
      </c>
      <c r="N47" s="9"/>
      <c r="O47" s="9"/>
      <c r="P47" s="9"/>
      <c r="Q47" s="9" t="s">
        <v>258</v>
      </c>
      <c r="R47" s="9" t="s">
        <v>261</v>
      </c>
      <c r="S47" s="9" t="s">
        <v>121</v>
      </c>
      <c r="T47" s="6"/>
      <c r="U47" s="6"/>
      <c r="V47" s="6"/>
    </row>
    <row r="48" customFormat="false" ht="15" hidden="false" customHeight="true" outlineLevel="0" collapsed="false">
      <c r="A48" s="9" t="s">
        <v>262</v>
      </c>
      <c r="B48" s="9" t="s">
        <v>263</v>
      </c>
      <c r="C48" s="9" t="s">
        <v>91</v>
      </c>
      <c r="D48" s="9" t="s">
        <v>262</v>
      </c>
      <c r="E48" s="9" t="s">
        <v>264</v>
      </c>
      <c r="F48" s="9" t="s">
        <v>165</v>
      </c>
      <c r="G48" s="9" t="s">
        <v>93</v>
      </c>
      <c r="H48" s="9" t="n">
        <v>1</v>
      </c>
      <c r="I48" s="9" t="n">
        <v>1049.99</v>
      </c>
      <c r="J48" s="9" t="s">
        <v>94</v>
      </c>
      <c r="K48" s="9" t="s">
        <v>112</v>
      </c>
      <c r="L48" s="9" t="s">
        <v>96</v>
      </c>
      <c r="M48" s="9" t="s">
        <v>113</v>
      </c>
      <c r="N48" s="9"/>
      <c r="O48" s="9"/>
      <c r="P48" s="9"/>
      <c r="Q48" s="9" t="s">
        <v>263</v>
      </c>
      <c r="R48" s="9" t="s">
        <v>167</v>
      </c>
      <c r="S48" s="9" t="s">
        <v>126</v>
      </c>
      <c r="T48" s="6"/>
      <c r="U48" s="6"/>
      <c r="V48" s="6"/>
    </row>
    <row r="49" customFormat="false" ht="15" hidden="false" customHeight="true" outlineLevel="0" collapsed="false">
      <c r="A49" s="9" t="s">
        <v>265</v>
      </c>
      <c r="B49" s="9" t="s">
        <v>263</v>
      </c>
      <c r="C49" s="9" t="s">
        <v>91</v>
      </c>
      <c r="D49" s="9" t="s">
        <v>265</v>
      </c>
      <c r="E49" s="9" t="s">
        <v>266</v>
      </c>
      <c r="F49" s="9"/>
      <c r="G49" s="9" t="s">
        <v>93</v>
      </c>
      <c r="H49" s="9" t="n">
        <v>1</v>
      </c>
      <c r="I49" s="9" t="n">
        <v>43.74</v>
      </c>
      <c r="J49" s="9" t="s">
        <v>94</v>
      </c>
      <c r="K49" s="9" t="s">
        <v>112</v>
      </c>
      <c r="L49" s="9" t="s">
        <v>96</v>
      </c>
      <c r="M49" s="9" t="s">
        <v>113</v>
      </c>
      <c r="N49" s="9"/>
      <c r="O49" s="9"/>
      <c r="P49" s="9"/>
      <c r="Q49" s="9" t="s">
        <v>263</v>
      </c>
      <c r="R49" s="9"/>
      <c r="S49" s="9" t="s">
        <v>126</v>
      </c>
      <c r="T49" s="6"/>
      <c r="U49" s="6"/>
      <c r="V49" s="6"/>
    </row>
    <row r="50" customFormat="false" ht="15" hidden="false" customHeight="true" outlineLevel="0" collapsed="false">
      <c r="A50" s="9" t="s">
        <v>267</v>
      </c>
      <c r="B50" s="9" t="s">
        <v>263</v>
      </c>
      <c r="C50" s="9" t="s">
        <v>91</v>
      </c>
      <c r="D50" s="9" t="s">
        <v>267</v>
      </c>
      <c r="E50" s="9" t="s">
        <v>268</v>
      </c>
      <c r="F50" s="9" t="s">
        <v>269</v>
      </c>
      <c r="G50" s="9" t="s">
        <v>93</v>
      </c>
      <c r="H50" s="9" t="n">
        <v>1</v>
      </c>
      <c r="I50" s="9" t="n">
        <v>1001.48</v>
      </c>
      <c r="J50" s="9" t="s">
        <v>94</v>
      </c>
      <c r="K50" s="9" t="s">
        <v>112</v>
      </c>
      <c r="L50" s="9" t="s">
        <v>96</v>
      </c>
      <c r="M50" s="9" t="s">
        <v>113</v>
      </c>
      <c r="N50" s="9"/>
      <c r="O50" s="9"/>
      <c r="P50" s="9"/>
      <c r="Q50" s="9" t="s">
        <v>263</v>
      </c>
      <c r="R50" s="9" t="s">
        <v>270</v>
      </c>
      <c r="S50" s="9" t="s">
        <v>271</v>
      </c>
      <c r="T50" s="6"/>
      <c r="U50" s="6"/>
      <c r="V50" s="6"/>
    </row>
    <row r="51" customFormat="false" ht="15" hidden="false" customHeight="true" outlineLevel="0" collapsed="false">
      <c r="A51" s="9" t="s">
        <v>272</v>
      </c>
      <c r="B51" s="9" t="s">
        <v>263</v>
      </c>
      <c r="C51" s="9" t="s">
        <v>91</v>
      </c>
      <c r="D51" s="9" t="s">
        <v>272</v>
      </c>
      <c r="E51" s="9" t="s">
        <v>273</v>
      </c>
      <c r="F51" s="9"/>
      <c r="G51" s="9" t="s">
        <v>93</v>
      </c>
      <c r="H51" s="9" t="n">
        <v>0</v>
      </c>
      <c r="I51" s="9" t="n">
        <v>0</v>
      </c>
      <c r="J51" s="9" t="s">
        <v>94</v>
      </c>
      <c r="K51" s="9" t="s">
        <v>274</v>
      </c>
      <c r="L51" s="9" t="s">
        <v>275</v>
      </c>
      <c r="M51" s="9" t="s">
        <v>97</v>
      </c>
      <c r="N51" s="9"/>
      <c r="O51" s="9"/>
      <c r="P51" s="9"/>
      <c r="Q51" s="9"/>
      <c r="R51" s="9"/>
      <c r="S51" s="9" t="s">
        <v>121</v>
      </c>
      <c r="T51" s="6"/>
      <c r="U51" s="6"/>
      <c r="V51" s="6"/>
    </row>
    <row r="52" customFormat="false" ht="15" hidden="false" customHeight="true" outlineLevel="0" collapsed="false">
      <c r="A52" s="9" t="s">
        <v>276</v>
      </c>
      <c r="B52" s="9" t="s">
        <v>277</v>
      </c>
      <c r="C52" s="9" t="s">
        <v>91</v>
      </c>
      <c r="D52" s="9" t="s">
        <v>276</v>
      </c>
      <c r="E52" s="9" t="s">
        <v>278</v>
      </c>
      <c r="F52" s="9" t="s">
        <v>279</v>
      </c>
      <c r="G52" s="9" t="s">
        <v>93</v>
      </c>
      <c r="H52" s="9" t="n">
        <v>1</v>
      </c>
      <c r="I52" s="9" t="n">
        <v>1028.99</v>
      </c>
      <c r="J52" s="9" t="s">
        <v>94</v>
      </c>
      <c r="K52" s="9" t="s">
        <v>112</v>
      </c>
      <c r="L52" s="9" t="s">
        <v>96</v>
      </c>
      <c r="M52" s="9" t="s">
        <v>113</v>
      </c>
      <c r="N52" s="9"/>
      <c r="O52" s="9"/>
      <c r="P52" s="9"/>
      <c r="Q52" s="9" t="s">
        <v>277</v>
      </c>
      <c r="R52" s="9" t="s">
        <v>280</v>
      </c>
      <c r="S52" s="9" t="s">
        <v>126</v>
      </c>
      <c r="T52" s="6"/>
      <c r="U52" s="6"/>
      <c r="V52" s="6"/>
    </row>
    <row r="53" customFormat="false" ht="15" hidden="false" customHeight="true" outlineLevel="0" collapsed="false">
      <c r="A53" s="9" t="s">
        <v>281</v>
      </c>
      <c r="B53" s="9" t="s">
        <v>282</v>
      </c>
      <c r="C53" s="9" t="s">
        <v>91</v>
      </c>
      <c r="D53" s="9" t="s">
        <v>281</v>
      </c>
      <c r="E53" s="9" t="s">
        <v>283</v>
      </c>
      <c r="F53" s="9" t="s">
        <v>284</v>
      </c>
      <c r="G53" s="9" t="s">
        <v>93</v>
      </c>
      <c r="H53" s="9" t="n">
        <v>1</v>
      </c>
      <c r="I53" s="9" t="n">
        <v>996.07</v>
      </c>
      <c r="J53" s="9" t="s">
        <v>94</v>
      </c>
      <c r="K53" s="9" t="s">
        <v>112</v>
      </c>
      <c r="L53" s="9" t="s">
        <v>96</v>
      </c>
      <c r="M53" s="9" t="s">
        <v>113</v>
      </c>
      <c r="N53" s="9"/>
      <c r="O53" s="9"/>
      <c r="P53" s="9"/>
      <c r="Q53" s="9" t="s">
        <v>282</v>
      </c>
      <c r="R53" s="9" t="s">
        <v>285</v>
      </c>
      <c r="S53" s="9" t="s">
        <v>286</v>
      </c>
      <c r="T53" s="6"/>
      <c r="U53" s="6"/>
      <c r="V53" s="6"/>
    </row>
  </sheetData>
  <dataValidations count="4">
    <dataValidation allowBlank="true" error="Select a valid channel" errorStyle="stop" operator="between" showDropDown="false" showErrorMessage="false" showInputMessage="false" sqref="C4:C500" type="list">
      <formula1>"Shopify,HubSpot,Manual,Phone,Email"</formula1>
      <formula2>0</formula2>
    </dataValidation>
    <dataValidation allowBlank="true" errorStyle="stop" operator="between" showDropDown="false" showErrorMessage="false" showInputMessage="false" sqref="K4:K500" type="list">
      <formula1>"Open,In Progress,Delivered,Cancelled,On Hold"</formula1>
      <formula2>0</formula2>
    </dataValidation>
    <dataValidation allowBlank="true" errorStyle="stop" operator="between" showDropDown="false" showErrorMessage="false" showInputMessage="false" sqref="L4:L500" type="list">
      <formula1>"Paid,Pending,Partial,Refunded"</formula1>
      <formula2>0</formula2>
    </dataValidation>
    <dataValidation allowBlank="true" errorStyle="stop" operator="between" showDropDown="false" showErrorMessage="false" showInputMessage="false" sqref="M4:M500" type="list">
      <formula1>"Unfulfilled,Partial,Fulfilled"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U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9" min="6" style="1" width="14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16"/>
    <col collapsed="false" customWidth="true" hidden="false" outlineLevel="0" max="15" min="14" style="1" width="12"/>
    <col collapsed="false" customWidth="true" hidden="false" outlineLevel="0" max="16" min="16" style="1" width="25"/>
    <col collapsed="false" customWidth="true" hidden="false" outlineLevel="0" max="17" min="17" style="1" width="14"/>
    <col collapsed="false" customWidth="true" hidden="false" outlineLevel="0" max="20" min="18" style="1" width="12"/>
    <col collapsed="false" customWidth="true" hidden="false" outlineLevel="0" max="21" min="21" style="1" width="14"/>
  </cols>
  <sheetData>
    <row r="1" customFormat="false" ht="30" hidden="false" customHeight="true" outlineLevel="0" collapsed="false">
      <c r="A1" s="2" t="s">
        <v>287</v>
      </c>
    </row>
    <row r="2" customFormat="false" ht="15" hidden="false" customHeight="true" outlineLevel="0" collapsed="false">
      <c r="A2" s="3" t="s">
        <v>288</v>
      </c>
      <c r="J2" s="10" t="s">
        <v>289</v>
      </c>
    </row>
    <row r="3" customFormat="false" ht="26.25" hidden="false" customHeight="true" outlineLevel="0" collapsed="false">
      <c r="A3" s="4" t="s">
        <v>290</v>
      </c>
      <c r="B3" s="4" t="s">
        <v>291</v>
      </c>
      <c r="C3" s="4" t="s">
        <v>292</v>
      </c>
      <c r="D3" s="4" t="s">
        <v>293</v>
      </c>
      <c r="E3" s="4" t="s">
        <v>294</v>
      </c>
      <c r="F3" s="4" t="s">
        <v>295</v>
      </c>
      <c r="G3" s="4" t="s">
        <v>296</v>
      </c>
      <c r="H3" s="4" t="s">
        <v>297</v>
      </c>
      <c r="I3" s="4" t="s">
        <v>298</v>
      </c>
      <c r="J3" s="4" t="s">
        <v>299</v>
      </c>
      <c r="K3" s="4" t="s">
        <v>300</v>
      </c>
      <c r="L3" s="4" t="s">
        <v>301</v>
      </c>
      <c r="M3" s="4" t="s">
        <v>302</v>
      </c>
      <c r="N3" s="4" t="s">
        <v>303</v>
      </c>
      <c r="O3" s="4" t="s">
        <v>304</v>
      </c>
      <c r="P3" s="4" t="s">
        <v>49</v>
      </c>
      <c r="Q3" s="4" t="s">
        <v>305</v>
      </c>
      <c r="R3" s="4" t="s">
        <v>306</v>
      </c>
      <c r="S3" s="4" t="s">
        <v>307</v>
      </c>
      <c r="T3" s="4" t="s">
        <v>308</v>
      </c>
      <c r="U3" s="4" t="s">
        <v>309</v>
      </c>
    </row>
    <row r="4" customFormat="false" ht="15" hidden="false" customHeight="true" outlineLevel="0" collapsed="false">
      <c r="A4" s="5" t="s">
        <v>310</v>
      </c>
      <c r="B4" s="5" t="s">
        <v>311</v>
      </c>
      <c r="C4" s="5" t="s">
        <v>312</v>
      </c>
      <c r="D4" s="5" t="s">
        <v>313</v>
      </c>
      <c r="E4" s="5" t="n">
        <v>150</v>
      </c>
      <c r="F4" s="5" t="n">
        <v>7</v>
      </c>
      <c r="G4" s="5" t="n">
        <f aca="false">E4-F4</f>
        <v>143</v>
      </c>
      <c r="H4" s="5" t="n">
        <v>50</v>
      </c>
      <c r="I4" s="5" t="n">
        <v>25</v>
      </c>
      <c r="J4" s="5" t="str">
        <f aca="false">IF(G4&lt;=0,"OUT",IF(G4&lt;=I4,"LOW","OK"))</f>
        <v>OK</v>
      </c>
      <c r="K4" s="5" t="n">
        <v>85</v>
      </c>
      <c r="L4" s="5" t="n">
        <f aca="false">E4*K4</f>
        <v>12750</v>
      </c>
      <c r="M4" s="5" t="s">
        <v>314</v>
      </c>
      <c r="N4" s="5" t="s">
        <v>315</v>
      </c>
      <c r="O4" s="5" t="s">
        <v>90</v>
      </c>
      <c r="P4" s="5"/>
      <c r="Q4" s="6" t="n">
        <v>14</v>
      </c>
      <c r="R4" s="6" t="n">
        <v>50</v>
      </c>
      <c r="S4" s="6" t="n">
        <v>10</v>
      </c>
      <c r="T4" s="6" t="n">
        <f aca="false">IF(F4=0,"N/A",ROUND(E4/(F4/7),0))</f>
        <v>150</v>
      </c>
      <c r="U4" s="6" t="str">
        <f aca="false">IF(G4&lt;=0,"ORDER NOW",IF(G4&lt;=I4,"REORDER","OK"))</f>
        <v>OK</v>
      </c>
    </row>
    <row r="5" customFormat="false" ht="15" hidden="false" customHeight="true" outlineLevel="0" collapsed="false">
      <c r="A5" s="5" t="s">
        <v>316</v>
      </c>
      <c r="B5" s="5" t="s">
        <v>317</v>
      </c>
      <c r="C5" s="5" t="s">
        <v>318</v>
      </c>
      <c r="D5" s="5" t="s">
        <v>313</v>
      </c>
      <c r="E5" s="5" t="n">
        <v>320</v>
      </c>
      <c r="F5" s="5" t="n">
        <v>13</v>
      </c>
      <c r="G5" s="5" t="n">
        <f aca="false">E5-F5</f>
        <v>307</v>
      </c>
      <c r="H5" s="5" t="n">
        <v>100</v>
      </c>
      <c r="I5" s="5" t="n">
        <v>50</v>
      </c>
      <c r="J5" s="5" t="str">
        <f aca="false">IF(G5&lt;=0,"OUT",IF(G5&lt;=I5,"LOW","OK"))</f>
        <v>OK</v>
      </c>
      <c r="K5" s="5" t="n">
        <v>32</v>
      </c>
      <c r="L5" s="5" t="n">
        <f aca="false">E5*K5</f>
        <v>10240</v>
      </c>
      <c r="M5" s="5" t="s">
        <v>319</v>
      </c>
      <c r="N5" s="5" t="s">
        <v>320</v>
      </c>
      <c r="O5" s="5" t="s">
        <v>90</v>
      </c>
      <c r="P5" s="5"/>
      <c r="Q5" s="6" t="n">
        <v>10</v>
      </c>
      <c r="R5" s="6" t="n">
        <v>100</v>
      </c>
      <c r="S5" s="6" t="n">
        <v>20</v>
      </c>
      <c r="T5" s="6" t="n">
        <f aca="false">IF(F5=0,"N/A",ROUND(E5/(F5/7),0))</f>
        <v>172</v>
      </c>
      <c r="U5" s="6" t="str">
        <f aca="false">IF(G5&lt;=0,"ORDER NOW",IF(G5&lt;=I5,"REORDER","OK"))</f>
        <v>OK</v>
      </c>
    </row>
    <row r="6" customFormat="false" ht="15" hidden="false" customHeight="true" outlineLevel="0" collapsed="false">
      <c r="A6" s="5" t="s">
        <v>321</v>
      </c>
      <c r="B6" s="5" t="s">
        <v>322</v>
      </c>
      <c r="C6" s="5" t="s">
        <v>323</v>
      </c>
      <c r="D6" s="5" t="s">
        <v>313</v>
      </c>
      <c r="E6" s="5" t="n">
        <v>80</v>
      </c>
      <c r="F6" s="5" t="n">
        <v>10</v>
      </c>
      <c r="G6" s="5" t="n">
        <f aca="false">E6-F6</f>
        <v>70</v>
      </c>
      <c r="H6" s="5" t="n">
        <v>0</v>
      </c>
      <c r="I6" s="5" t="n">
        <v>30</v>
      </c>
      <c r="J6" s="5" t="str">
        <f aca="false">IF(G6&lt;=0,"OUT",IF(G6&lt;=I6,"LOW","OK"))</f>
        <v>OK</v>
      </c>
      <c r="K6" s="5" t="n">
        <v>120</v>
      </c>
      <c r="L6" s="5" t="n">
        <f aca="false">E6*K6</f>
        <v>9600</v>
      </c>
      <c r="M6" s="5" t="s">
        <v>324</v>
      </c>
      <c r="N6" s="5" t="s">
        <v>325</v>
      </c>
      <c r="O6" s="5" t="s">
        <v>90</v>
      </c>
      <c r="P6" s="5" t="s">
        <v>326</v>
      </c>
      <c r="Q6" s="6" t="n">
        <v>21</v>
      </c>
      <c r="R6" s="6" t="n">
        <v>30</v>
      </c>
      <c r="S6" s="6" t="n">
        <v>10</v>
      </c>
      <c r="T6" s="6" t="n">
        <f aca="false">IF(F6=0,"N/A",ROUND(E6/(F6/7),0))</f>
        <v>56</v>
      </c>
      <c r="U6" s="6" t="str">
        <f aca="false">IF(G6&lt;=0,"ORDER NOW",IF(G6&lt;=I6,"REORDER","OK"))</f>
        <v>OK</v>
      </c>
    </row>
    <row r="7" customFormat="false" ht="15" hidden="false" customHeight="true" outlineLevel="0" collapsed="false">
      <c r="A7" s="5" t="s">
        <v>327</v>
      </c>
      <c r="B7" s="5" t="s">
        <v>328</v>
      </c>
      <c r="C7" s="5" t="s">
        <v>329</v>
      </c>
      <c r="D7" s="5" t="s">
        <v>313</v>
      </c>
      <c r="E7" s="5" t="n">
        <v>45</v>
      </c>
      <c r="F7" s="5" t="n">
        <v>8</v>
      </c>
      <c r="G7" s="5" t="n">
        <f aca="false">E7-F7</f>
        <v>37</v>
      </c>
      <c r="H7" s="5" t="n">
        <v>25</v>
      </c>
      <c r="I7" s="5" t="n">
        <v>20</v>
      </c>
      <c r="J7" s="5" t="str">
        <f aca="false">IF(G7&lt;=0,"OUT",IF(G7&lt;=I7,"LOW","OK"))</f>
        <v>OK</v>
      </c>
      <c r="K7" s="5" t="n">
        <v>95</v>
      </c>
      <c r="L7" s="5" t="n">
        <f aca="false">E7*K7</f>
        <v>4275</v>
      </c>
      <c r="M7" s="5" t="s">
        <v>330</v>
      </c>
      <c r="N7" s="5" t="s">
        <v>331</v>
      </c>
      <c r="O7" s="5" t="s">
        <v>90</v>
      </c>
      <c r="P7" s="5"/>
      <c r="Q7" s="6" t="n">
        <v>18</v>
      </c>
      <c r="R7" s="6" t="n">
        <v>25</v>
      </c>
      <c r="S7" s="6" t="n">
        <v>8</v>
      </c>
      <c r="T7" s="6" t="n">
        <f aca="false">IF(F7=0,"N/A",ROUND(E7/(F7/7),0))</f>
        <v>39</v>
      </c>
      <c r="U7" s="6" t="str">
        <f aca="false">IF(G7&lt;=0,"ORDER NOW",IF(G7&lt;=I7,"REORDER","OK"))</f>
        <v>OK</v>
      </c>
    </row>
    <row r="8" customFormat="false" ht="15" hidden="false" customHeight="true" outlineLevel="0" collapsed="false">
      <c r="A8" s="5" t="s">
        <v>310</v>
      </c>
      <c r="B8" s="5" t="s">
        <v>311</v>
      </c>
      <c r="C8" s="5" t="s">
        <v>312</v>
      </c>
      <c r="D8" s="5" t="s">
        <v>332</v>
      </c>
      <c r="E8" s="5" t="n">
        <v>60</v>
      </c>
      <c r="F8" s="5" t="n">
        <v>2</v>
      </c>
      <c r="G8" s="5" t="n">
        <f aca="false">E8-F8</f>
        <v>58</v>
      </c>
      <c r="H8" s="5" t="n">
        <v>0</v>
      </c>
      <c r="I8" s="5" t="n">
        <v>15</v>
      </c>
      <c r="J8" s="5" t="str">
        <f aca="false">IF(G8&lt;=0,"OUT",IF(G8&lt;=I8,"LOW","OK"))</f>
        <v>OK</v>
      </c>
      <c r="K8" s="5" t="n">
        <v>85</v>
      </c>
      <c r="L8" s="5" t="n">
        <f aca="false">E8*K8</f>
        <v>5100</v>
      </c>
      <c r="M8" s="5" t="s">
        <v>333</v>
      </c>
      <c r="N8" s="5" t="s">
        <v>315</v>
      </c>
      <c r="O8" s="5" t="s">
        <v>90</v>
      </c>
      <c r="P8" s="5"/>
      <c r="Q8" s="6" t="n">
        <v>14</v>
      </c>
      <c r="R8" s="6" t="n">
        <v>30</v>
      </c>
      <c r="S8" s="6" t="n">
        <v>5</v>
      </c>
      <c r="T8" s="6" t="n">
        <f aca="false">IF(F8=0,"N/A",ROUND(E8/(F8/7),0))</f>
        <v>210</v>
      </c>
      <c r="U8" s="6" t="str">
        <f aca="false">IF(G8&lt;=0,"ORDER NOW",IF(G8&lt;=I8,"REORDER","OK"))</f>
        <v>OK</v>
      </c>
    </row>
    <row r="9" customFormat="false" ht="15" hidden="false" customHeight="true" outlineLevel="0" collapsed="false">
      <c r="A9" s="5" t="s">
        <v>334</v>
      </c>
      <c r="B9" s="5" t="s">
        <v>335</v>
      </c>
      <c r="C9" s="5" t="s">
        <v>336</v>
      </c>
      <c r="D9" s="5" t="s">
        <v>313</v>
      </c>
      <c r="E9" s="5" t="n">
        <v>10</v>
      </c>
      <c r="F9" s="5" t="n">
        <v>0</v>
      </c>
      <c r="G9" s="5" t="n">
        <f aca="false">E9-F9</f>
        <v>10</v>
      </c>
      <c r="H9" s="5" t="n">
        <v>50</v>
      </c>
      <c r="I9" s="5" t="n">
        <v>25</v>
      </c>
      <c r="J9" s="5" t="str">
        <f aca="false">IF(G9&lt;=0,"OUT",IF(G9&lt;=I9,"LOW","OK"))</f>
        <v>LOW</v>
      </c>
      <c r="K9" s="5" t="n">
        <v>68</v>
      </c>
      <c r="L9" s="5" t="n">
        <f aca="false">E9*K9</f>
        <v>680</v>
      </c>
      <c r="M9" s="5" t="s">
        <v>337</v>
      </c>
      <c r="N9" s="5" t="s">
        <v>338</v>
      </c>
      <c r="O9" s="5" t="s">
        <v>90</v>
      </c>
      <c r="P9" s="5" t="s">
        <v>339</v>
      </c>
      <c r="Q9" s="6" t="n">
        <v>12</v>
      </c>
      <c r="R9" s="6" t="n">
        <v>50</v>
      </c>
      <c r="S9" s="6" t="n">
        <v>10</v>
      </c>
      <c r="T9" s="6" t="str">
        <f aca="false">IF(F9=0,"N/A",ROUND(E9/(F9/7),0))</f>
        <v>N/A</v>
      </c>
      <c r="U9" s="6" t="str">
        <f aca="false">IF(G9&lt;=0,"ORDER NOW",IF(G9&lt;=I9,"REORDER","OK"))</f>
        <v>REORDER</v>
      </c>
    </row>
  </sheetData>
  <conditionalFormatting sqref="U4:U100">
    <cfRule type="cellIs" priority="2" operator="equal" aboveAverage="0" equalAverage="0" bottom="0" percent="0" rank="0" text="" dxfId="0">
      <formula>"ORDER NOW"</formula>
    </cfRule>
    <cfRule type="cellIs" priority="3" operator="equal" aboveAverage="0" equalAverage="0" bottom="0" percent="0" rank="0" text="" dxfId="1">
      <formula>"REORDER"</formula>
    </cfRule>
    <cfRule type="cellIs" priority="4" operator="equal" aboveAverage="0" equalAverage="0" bottom="0" percent="0" rank="0" text="" dxfId="2">
      <formula>"OK"</formula>
    </cfRule>
  </conditionalFormatting>
  <conditionalFormatting sqref="J4:J100">
    <cfRule type="cellIs" priority="5" operator="equal" aboveAverage="0" equalAverage="0" bottom="0" percent="0" rank="0" text="" dxfId="0">
      <formula>"OUT"</formula>
    </cfRule>
    <cfRule type="cellIs" priority="6" operator="equal" aboveAverage="0" equalAverage="0" bottom="0" percent="0" rank="0" text="" dxfId="1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R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22"/>
    <col collapsed="false" customWidth="true" hidden="false" outlineLevel="0" max="6" min="5" style="1" width="12"/>
    <col collapsed="false" customWidth="true" hidden="false" outlineLevel="0" max="7" min="7" style="1" width="14"/>
    <col collapsed="false" customWidth="true" hidden="false" outlineLevel="0" max="9" min="8" style="1" width="12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16"/>
    <col collapsed="false" customWidth="true" hidden="false" outlineLevel="0" max="13" min="13" style="1" width="14"/>
    <col collapsed="false" customWidth="true" hidden="false" outlineLevel="0" max="15" min="14" style="1" width="16"/>
    <col collapsed="false" customWidth="true" hidden="false" outlineLevel="0" max="16" min="16" style="1" width="35"/>
    <col collapsed="false" customWidth="true" hidden="false" outlineLevel="0" max="17" min="17" style="1" width="12"/>
    <col collapsed="false" customWidth="true" hidden="false" outlineLevel="0" max="18" min="18" style="1" width="14"/>
  </cols>
  <sheetData>
    <row r="1" customFormat="false" ht="30" hidden="false" customHeight="true" outlineLevel="0" collapsed="false">
      <c r="A1" s="2" t="s">
        <v>340</v>
      </c>
    </row>
    <row r="2" customFormat="false" ht="15" hidden="false" customHeight="true" outlineLevel="0" collapsed="false">
      <c r="A2" s="3" t="s">
        <v>341</v>
      </c>
    </row>
    <row r="3" customFormat="false" ht="26.25" hidden="false" customHeight="true" outlineLevel="0" collapsed="false">
      <c r="A3" s="4" t="s">
        <v>342</v>
      </c>
      <c r="B3" s="4" t="s">
        <v>343</v>
      </c>
      <c r="C3" s="4" t="s">
        <v>344</v>
      </c>
      <c r="D3" s="4" t="s">
        <v>291</v>
      </c>
      <c r="E3" s="4" t="s">
        <v>345</v>
      </c>
      <c r="F3" s="4" t="s">
        <v>346</v>
      </c>
      <c r="G3" s="4" t="s">
        <v>347</v>
      </c>
      <c r="H3" s="4" t="s">
        <v>348</v>
      </c>
      <c r="I3" s="4" t="s">
        <v>349</v>
      </c>
      <c r="J3" s="4" t="s">
        <v>5</v>
      </c>
      <c r="K3" s="4" t="s">
        <v>350</v>
      </c>
      <c r="L3" s="4" t="s">
        <v>351</v>
      </c>
      <c r="M3" s="4" t="s">
        <v>352</v>
      </c>
      <c r="N3" s="4" t="s">
        <v>353</v>
      </c>
      <c r="O3" s="4" t="s">
        <v>354</v>
      </c>
      <c r="P3" s="4" t="s">
        <v>355</v>
      </c>
      <c r="Q3" s="4" t="s">
        <v>356</v>
      </c>
      <c r="R3" s="4" t="s">
        <v>357</v>
      </c>
    </row>
    <row r="4" customFormat="false" ht="15" hidden="false" customHeight="true" outlineLevel="0" collapsed="false">
      <c r="A4" s="5" t="s">
        <v>358</v>
      </c>
      <c r="B4" s="5" t="s">
        <v>359</v>
      </c>
      <c r="C4" s="5" t="s">
        <v>310</v>
      </c>
      <c r="D4" s="5" t="s">
        <v>311</v>
      </c>
      <c r="E4" s="5" t="s">
        <v>360</v>
      </c>
      <c r="F4" s="5" t="n">
        <v>5</v>
      </c>
      <c r="G4" s="5" t="n">
        <v>0</v>
      </c>
      <c r="H4" s="11" t="n">
        <f aca="false">G4/F4</f>
        <v>0</v>
      </c>
      <c r="I4" s="5" t="s">
        <v>90</v>
      </c>
      <c r="J4" s="5" t="s">
        <v>361</v>
      </c>
      <c r="K4" s="5" t="s">
        <v>362</v>
      </c>
      <c r="L4" s="5" t="s">
        <v>363</v>
      </c>
      <c r="M4" s="5" t="s">
        <v>364</v>
      </c>
      <c r="N4" s="5" t="n">
        <v>10</v>
      </c>
      <c r="O4" s="5" t="n">
        <v>0</v>
      </c>
      <c r="P4" s="5" t="s">
        <v>365</v>
      </c>
      <c r="Q4" s="5" t="s">
        <v>366</v>
      </c>
      <c r="R4" s="5" t="s">
        <v>313</v>
      </c>
    </row>
    <row r="5" customFormat="false" ht="15" hidden="false" customHeight="true" outlineLevel="0" collapsed="false">
      <c r="A5" s="5" t="s">
        <v>367</v>
      </c>
      <c r="B5" s="5" t="s">
        <v>102</v>
      </c>
      <c r="C5" s="5" t="s">
        <v>321</v>
      </c>
      <c r="D5" s="5" t="s">
        <v>322</v>
      </c>
      <c r="E5" s="5" t="s">
        <v>368</v>
      </c>
      <c r="F5" s="5" t="n">
        <v>10</v>
      </c>
      <c r="G5" s="5" t="n">
        <v>3</v>
      </c>
      <c r="H5" s="11" t="n">
        <f aca="false">G5/F5</f>
        <v>0.3</v>
      </c>
      <c r="I5" s="5" t="s">
        <v>102</v>
      </c>
      <c r="J5" s="5" t="s">
        <v>369</v>
      </c>
      <c r="K5" s="5" t="s">
        <v>370</v>
      </c>
      <c r="L5" s="5" t="s">
        <v>371</v>
      </c>
      <c r="M5" s="5" t="s">
        <v>372</v>
      </c>
      <c r="N5" s="5" t="n">
        <v>25</v>
      </c>
      <c r="O5" s="5" t="n">
        <v>8</v>
      </c>
      <c r="P5" s="5" t="s">
        <v>373</v>
      </c>
      <c r="Q5" s="5" t="s">
        <v>374</v>
      </c>
      <c r="R5" s="5" t="s">
        <v>313</v>
      </c>
    </row>
    <row r="6" customFormat="false" ht="15" hidden="false" customHeight="true" outlineLevel="0" collapsed="false">
      <c r="A6" s="5" t="s">
        <v>375</v>
      </c>
      <c r="B6" s="5" t="s">
        <v>376</v>
      </c>
      <c r="C6" s="5" t="s">
        <v>316</v>
      </c>
      <c r="D6" s="5" t="s">
        <v>317</v>
      </c>
      <c r="E6" s="5" t="s">
        <v>377</v>
      </c>
      <c r="F6" s="5" t="n">
        <v>100</v>
      </c>
      <c r="G6" s="5" t="n">
        <v>100</v>
      </c>
      <c r="H6" s="11" t="n">
        <f aca="false">G6/F6</f>
        <v>1</v>
      </c>
      <c r="I6" s="5" t="s">
        <v>376</v>
      </c>
      <c r="J6" s="5" t="s">
        <v>378</v>
      </c>
      <c r="K6" s="5" t="s">
        <v>102</v>
      </c>
      <c r="L6" s="5" t="s">
        <v>363</v>
      </c>
      <c r="M6" s="5" t="s">
        <v>379</v>
      </c>
      <c r="N6" s="5" t="n">
        <v>15</v>
      </c>
      <c r="O6" s="5" t="n">
        <v>14</v>
      </c>
      <c r="P6" s="5" t="s">
        <v>380</v>
      </c>
      <c r="Q6" s="5"/>
      <c r="R6" s="5" t="s">
        <v>313</v>
      </c>
    </row>
    <row r="7" customFormat="false" ht="15" hidden="false" customHeight="true" outlineLevel="0" collapsed="false">
      <c r="A7" s="5" t="s">
        <v>381</v>
      </c>
      <c r="B7" s="5" t="s">
        <v>90</v>
      </c>
      <c r="C7" s="5" t="s">
        <v>334</v>
      </c>
      <c r="D7" s="5" t="s">
        <v>335</v>
      </c>
      <c r="E7" s="5" t="s">
        <v>382</v>
      </c>
      <c r="F7" s="5" t="n">
        <v>50</v>
      </c>
      <c r="G7" s="5" t="n">
        <v>0</v>
      </c>
      <c r="H7" s="11" t="n">
        <f aca="false">G7/F7</f>
        <v>0</v>
      </c>
      <c r="I7" s="5" t="s">
        <v>383</v>
      </c>
      <c r="J7" s="5" t="s">
        <v>361</v>
      </c>
      <c r="K7" s="5" t="s">
        <v>384</v>
      </c>
      <c r="L7" s="5" t="s">
        <v>385</v>
      </c>
      <c r="M7" s="5" t="s">
        <v>386</v>
      </c>
      <c r="N7" s="5" t="n">
        <v>30</v>
      </c>
      <c r="O7" s="5" t="n">
        <v>0</v>
      </c>
      <c r="P7" s="5" t="s">
        <v>387</v>
      </c>
      <c r="Q7" s="5"/>
      <c r="R7" s="5" t="s">
        <v>313</v>
      </c>
    </row>
  </sheetData>
  <dataValidations count="2">
    <dataValidation allowBlank="true" errorStyle="stop" operator="between" showDropDown="false" showErrorMessage="false" showInputMessage="false" sqref="J4:J500" type="list">
      <formula1>"Planned,In Progress,Completed,On Hold,Cancelled"</formula1>
      <formula2>0</formula2>
    </dataValidation>
    <dataValidation allowBlank="true" errorStyle="stop" operator="between" showDropDown="false" showErrorMessage="false" showInputMessage="false" sqref="M4:M500" type="list">
      <formula1>"Available,Partial,Awaiting PO,Complete"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W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24"/>
    <col collapsed="false" customWidth="true" hidden="false" outlineLevel="0" max="6" min="6" style="1" width="14"/>
    <col collapsed="false" customWidth="true" hidden="false" outlineLevel="0" max="7" min="7" style="1" width="24"/>
    <col collapsed="false" customWidth="true" hidden="false" outlineLevel="0" max="8" min="8" style="1" width="12"/>
    <col collapsed="false" customWidth="true" hidden="false" outlineLevel="0" max="10" min="9" style="1" width="10"/>
    <col collapsed="false" customWidth="true" hidden="false" outlineLevel="0" max="12" min="11" style="1" width="12"/>
    <col collapsed="false" customWidth="true" hidden="false" outlineLevel="0" max="14" min="13" style="1" width="16"/>
    <col collapsed="false" customWidth="true" hidden="false" outlineLevel="0" max="16" min="15" style="1" width="14"/>
    <col collapsed="false" customWidth="true" hidden="false" outlineLevel="0" max="17" min="17" style="1" width="12"/>
    <col collapsed="false" customWidth="true" hidden="false" outlineLevel="0" max="19" min="18" style="1" width="14"/>
    <col collapsed="false" customWidth="true" hidden="false" outlineLevel="0" max="20" min="20" style="1" width="30"/>
    <col collapsed="false" customWidth="true" hidden="false" outlineLevel="0" max="21" min="21" style="1" width="12"/>
    <col collapsed="false" customWidth="true" hidden="false" outlineLevel="0" max="22" min="22" style="1" width="14"/>
    <col collapsed="false" customWidth="true" hidden="false" outlineLevel="0" max="23" min="23" style="1" width="12"/>
  </cols>
  <sheetData>
    <row r="1" customFormat="false" ht="30" hidden="false" customHeight="true" outlineLevel="0" collapsed="false">
      <c r="A1" s="2" t="s">
        <v>388</v>
      </c>
    </row>
    <row r="2" customFormat="false" ht="15" hidden="false" customHeight="true" outlineLevel="0" collapsed="false">
      <c r="A2" s="3" t="s">
        <v>389</v>
      </c>
    </row>
    <row r="3" customFormat="false" ht="26.25" hidden="false" customHeight="true" outlineLevel="0" collapsed="false">
      <c r="A3" s="4" t="s">
        <v>390</v>
      </c>
      <c r="B3" s="4" t="s">
        <v>391</v>
      </c>
      <c r="C3" s="4" t="s">
        <v>392</v>
      </c>
      <c r="D3" s="4" t="s">
        <v>393</v>
      </c>
      <c r="E3" s="4" t="s">
        <v>394</v>
      </c>
      <c r="F3" s="4" t="s">
        <v>395</v>
      </c>
      <c r="G3" s="4" t="s">
        <v>396</v>
      </c>
      <c r="H3" s="4" t="s">
        <v>397</v>
      </c>
      <c r="I3" s="4" t="s">
        <v>300</v>
      </c>
      <c r="J3" s="4" t="s">
        <v>78</v>
      </c>
      <c r="K3" s="4" t="s">
        <v>398</v>
      </c>
      <c r="L3" s="4" t="s">
        <v>399</v>
      </c>
      <c r="M3" s="4" t="s">
        <v>400</v>
      </c>
      <c r="N3" s="4" t="s">
        <v>401</v>
      </c>
      <c r="O3" s="4" t="s">
        <v>305</v>
      </c>
      <c r="P3" s="4" t="s">
        <v>402</v>
      </c>
      <c r="Q3" s="4" t="s">
        <v>403</v>
      </c>
      <c r="R3" s="4" t="s">
        <v>404</v>
      </c>
      <c r="S3" s="4" t="s">
        <v>405</v>
      </c>
      <c r="T3" s="4" t="s">
        <v>49</v>
      </c>
      <c r="U3" s="4" t="s">
        <v>406</v>
      </c>
      <c r="V3" s="4" t="s">
        <v>407</v>
      </c>
      <c r="W3" s="4" t="s">
        <v>408</v>
      </c>
    </row>
    <row r="4" customFormat="false" ht="15" hidden="false" customHeight="true" outlineLevel="0" collapsed="false">
      <c r="A4" s="5" t="s">
        <v>409</v>
      </c>
      <c r="B4" s="5" t="s">
        <v>410</v>
      </c>
      <c r="C4" s="5" t="s">
        <v>411</v>
      </c>
      <c r="D4" s="5" t="s">
        <v>412</v>
      </c>
      <c r="E4" s="5" t="s">
        <v>413</v>
      </c>
      <c r="F4" s="5" t="s">
        <v>414</v>
      </c>
      <c r="G4" s="5" t="s">
        <v>415</v>
      </c>
      <c r="H4" s="5" t="n">
        <v>200</v>
      </c>
      <c r="I4" s="5" t="n">
        <v>22.5</v>
      </c>
      <c r="J4" s="5" t="s">
        <v>94</v>
      </c>
      <c r="K4" s="5" t="n">
        <f aca="false">H4*I4</f>
        <v>4500</v>
      </c>
      <c r="L4" s="5" t="s">
        <v>416</v>
      </c>
      <c r="M4" s="5" t="s">
        <v>359</v>
      </c>
      <c r="N4" s="5" t="s">
        <v>107</v>
      </c>
      <c r="O4" s="5" t="n">
        <f aca="false">N4-B4</f>
        <v>6</v>
      </c>
      <c r="P4" s="5" t="s">
        <v>417</v>
      </c>
      <c r="Q4" s="5" t="n">
        <v>450</v>
      </c>
      <c r="R4" s="5" t="n">
        <f aca="false">(K4+Q4)/H4</f>
        <v>24.75</v>
      </c>
      <c r="S4" s="5" t="n">
        <v>4.5</v>
      </c>
      <c r="T4" s="5" t="s">
        <v>418</v>
      </c>
      <c r="U4" s="6" t="n">
        <v>200</v>
      </c>
      <c r="V4" s="6" t="n">
        <f aca="false">U4-H4</f>
        <v>0</v>
      </c>
      <c r="W4" s="6" t="n">
        <f aca="true">IF(L4="Received",0,IF(TODAY()&gt;M4,TODAY()-M4,0))</f>
        <v>0</v>
      </c>
    </row>
    <row r="5" customFormat="false" ht="15" hidden="false" customHeight="true" outlineLevel="0" collapsed="false">
      <c r="A5" s="5" t="s">
        <v>419</v>
      </c>
      <c r="B5" s="5" t="s">
        <v>420</v>
      </c>
      <c r="C5" s="5" t="s">
        <v>421</v>
      </c>
      <c r="D5" s="5" t="s">
        <v>422</v>
      </c>
      <c r="E5" s="5" t="s">
        <v>423</v>
      </c>
      <c r="F5" s="5" t="s">
        <v>424</v>
      </c>
      <c r="G5" s="5" t="s">
        <v>425</v>
      </c>
      <c r="H5" s="5" t="n">
        <v>100</v>
      </c>
      <c r="I5" s="5" t="n">
        <v>18</v>
      </c>
      <c r="J5" s="5" t="s">
        <v>94</v>
      </c>
      <c r="K5" s="5" t="n">
        <f aca="false">H5*I5</f>
        <v>1800</v>
      </c>
      <c r="L5" s="5" t="s">
        <v>426</v>
      </c>
      <c r="M5" s="5" t="s">
        <v>383</v>
      </c>
      <c r="N5" s="5"/>
      <c r="O5" s="5" t="n">
        <f aca="false">IF(N5="",M5-B5,N5-B5)</f>
        <v>10</v>
      </c>
      <c r="P5" s="5" t="s">
        <v>427</v>
      </c>
      <c r="Q5" s="5" t="n">
        <v>280</v>
      </c>
      <c r="R5" s="5" t="n">
        <f aca="false">(K5+Q5)/H5</f>
        <v>20.8</v>
      </c>
      <c r="S5" s="5" t="n">
        <v>4.2</v>
      </c>
      <c r="T5" s="5"/>
      <c r="U5" s="6" t="n">
        <v>0</v>
      </c>
      <c r="V5" s="6" t="n">
        <f aca="false">U5-H5</f>
        <v>-100</v>
      </c>
      <c r="W5" s="6" t="n">
        <f aca="true">IF(L5="Received",0,IF(TODAY()&gt;M5,TODAY()-M5,0))</f>
        <v>0</v>
      </c>
    </row>
    <row r="6" customFormat="false" ht="23.25" hidden="false" customHeight="true" outlineLevel="0" collapsed="false">
      <c r="A6" s="5" t="s">
        <v>428</v>
      </c>
      <c r="B6" s="5" t="s">
        <v>429</v>
      </c>
      <c r="C6" s="5" t="s">
        <v>430</v>
      </c>
      <c r="D6" s="5" t="s">
        <v>431</v>
      </c>
      <c r="E6" s="5" t="s">
        <v>432</v>
      </c>
      <c r="F6" s="5" t="s">
        <v>433</v>
      </c>
      <c r="G6" s="5" t="s">
        <v>434</v>
      </c>
      <c r="H6" s="5" t="n">
        <v>500</v>
      </c>
      <c r="I6" s="5" t="n">
        <v>4.75</v>
      </c>
      <c r="J6" s="5" t="s">
        <v>115</v>
      </c>
      <c r="K6" s="5" t="n">
        <f aca="false">H6*I6</f>
        <v>2375</v>
      </c>
      <c r="L6" s="5" t="s">
        <v>95</v>
      </c>
      <c r="M6" s="5" t="s">
        <v>435</v>
      </c>
      <c r="N6" s="5"/>
      <c r="O6" s="5" t="n">
        <f aca="false">IF(N6="",M6-B6,N6-B6)</f>
        <v>17</v>
      </c>
      <c r="P6" s="5" t="s">
        <v>417</v>
      </c>
      <c r="Q6" s="5" t="n">
        <v>120</v>
      </c>
      <c r="R6" s="5" t="n">
        <f aca="false">(K6+Q6)/H6</f>
        <v>4.99</v>
      </c>
      <c r="S6" s="5" t="n">
        <v>4</v>
      </c>
      <c r="T6" s="5" t="s">
        <v>436</v>
      </c>
      <c r="U6" s="6" t="n">
        <v>0</v>
      </c>
      <c r="V6" s="6" t="n">
        <f aca="false">U6-H6</f>
        <v>-500</v>
      </c>
      <c r="W6" s="6" t="n">
        <f aca="true">IF(L6="Received",0,IF(TODAY()&gt;M6,TODAY()-M6,0))</f>
        <v>0</v>
      </c>
    </row>
    <row r="7" customFormat="false" ht="15" hidden="false" customHeight="true" outlineLevel="0" collapsed="false">
      <c r="A7" s="5" t="s">
        <v>437</v>
      </c>
      <c r="B7" s="5" t="s">
        <v>376</v>
      </c>
      <c r="C7" s="5" t="s">
        <v>438</v>
      </c>
      <c r="D7" s="5" t="s">
        <v>439</v>
      </c>
      <c r="E7" s="5" t="s">
        <v>440</v>
      </c>
      <c r="F7" s="5" t="s">
        <v>441</v>
      </c>
      <c r="G7" s="5" t="s">
        <v>442</v>
      </c>
      <c r="H7" s="5" t="n">
        <v>300</v>
      </c>
      <c r="I7" s="5" t="n">
        <v>6.2</v>
      </c>
      <c r="J7" s="5" t="s">
        <v>94</v>
      </c>
      <c r="K7" s="5" t="n">
        <f aca="false">H7*I7</f>
        <v>1860</v>
      </c>
      <c r="L7" s="5" t="s">
        <v>95</v>
      </c>
      <c r="M7" s="5" t="s">
        <v>384</v>
      </c>
      <c r="N7" s="5"/>
      <c r="O7" s="5" t="n">
        <f aca="false">IF(N7="",M7-B7,N7-B7)</f>
        <v>17</v>
      </c>
      <c r="P7" s="5" t="s">
        <v>417</v>
      </c>
      <c r="Q7" s="5" t="n">
        <v>180</v>
      </c>
      <c r="R7" s="5" t="n">
        <f aca="false">(K7+Q7)/H7</f>
        <v>6.8</v>
      </c>
      <c r="S7" s="5" t="n">
        <v>3.8</v>
      </c>
      <c r="T7" s="5" t="s">
        <v>443</v>
      </c>
      <c r="U7" s="6" t="n">
        <v>0</v>
      </c>
      <c r="V7" s="6" t="n">
        <f aca="false">U7-H7</f>
        <v>-300</v>
      </c>
      <c r="W7" s="6" t="n">
        <f aca="true">IF(L7="Received",0,IF(TODAY()&gt;M7,TODAY()-M7,0))</f>
        <v>0</v>
      </c>
    </row>
    <row r="8" customFormat="false" ht="15" hidden="false" customHeight="true" outlineLevel="0" collapsed="false">
      <c r="A8" s="5" t="s">
        <v>444</v>
      </c>
      <c r="B8" s="5" t="s">
        <v>359</v>
      </c>
      <c r="C8" s="5" t="s">
        <v>445</v>
      </c>
      <c r="D8" s="5" t="s">
        <v>446</v>
      </c>
      <c r="E8" s="5" t="s">
        <v>447</v>
      </c>
      <c r="F8" s="5" t="s">
        <v>448</v>
      </c>
      <c r="G8" s="5" t="s">
        <v>449</v>
      </c>
      <c r="H8" s="5" t="n">
        <v>50</v>
      </c>
      <c r="I8" s="5" t="n">
        <v>35</v>
      </c>
      <c r="J8" s="5" t="s">
        <v>450</v>
      </c>
      <c r="K8" s="5" t="n">
        <f aca="false">H8*I8</f>
        <v>1750</v>
      </c>
      <c r="L8" s="5" t="s">
        <v>95</v>
      </c>
      <c r="M8" s="5" t="s">
        <v>451</v>
      </c>
      <c r="N8" s="5"/>
      <c r="O8" s="5" t="n">
        <f aca="false">IF(N8="",M8-B8,N8-B8)</f>
        <v>13</v>
      </c>
      <c r="P8" s="5" t="s">
        <v>452</v>
      </c>
      <c r="Q8" s="5" t="n">
        <v>320</v>
      </c>
      <c r="R8" s="5" t="n">
        <f aca="false">(K8+Q8)/H8</f>
        <v>41.4</v>
      </c>
      <c r="S8" s="5" t="n">
        <v>4.7</v>
      </c>
      <c r="T8" s="5" t="s">
        <v>453</v>
      </c>
      <c r="U8" s="6" t="n">
        <v>0</v>
      </c>
      <c r="V8" s="6" t="n">
        <f aca="false">U8-H8</f>
        <v>-50</v>
      </c>
      <c r="W8" s="6" t="n">
        <f aca="true">IF(L8="Received",0,IF(TODAY()&gt;M8,TODAY()-M8,0))</f>
        <v>0</v>
      </c>
    </row>
  </sheetData>
  <conditionalFormatting sqref="W4:W100">
    <cfRule type="cellIs" priority="2" operator="greaterThan" aboveAverage="0" equalAverage="0" bottom="0" percent="0" rank="0" text="" dxfId="0">
      <formula>0</formula>
    </cfRule>
  </conditionalFormatting>
  <dataValidations count="1">
    <dataValidation allowBlank="true" errorStyle="stop" operator="between" showDropDown="false" showErrorMessage="false" showInputMessage="false" sqref="L4:L500" type="list">
      <formula1>"Open,Partial,In Transit,Received,Cancelled"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S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6"/>
    <col collapsed="false" customWidth="true" hidden="false" outlineLevel="0" max="7" min="7" style="1" width="28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1" min="10" style="1" width="14"/>
    <col collapsed="false" customWidth="true" hidden="false" outlineLevel="0" max="12" min="12" style="1" width="22"/>
    <col collapsed="false" customWidth="true" hidden="false" outlineLevel="0" max="13" min="13" style="1" width="14"/>
    <col collapsed="false" customWidth="true" hidden="false" outlineLevel="0" max="14" min="14" style="1" width="10"/>
    <col collapsed="false" customWidth="true" hidden="false" outlineLevel="0" max="15" min="15" style="1" width="14"/>
    <col collapsed="false" customWidth="true" hidden="false" outlineLevel="0" max="16" min="16" style="1" width="10"/>
    <col collapsed="false" customWidth="true" hidden="false" outlineLevel="0" max="17" min="17" style="1" width="30"/>
    <col collapsed="false" customWidth="true" hidden="false" outlineLevel="0" max="18" min="18" style="1" width="16"/>
    <col collapsed="false" customWidth="true" hidden="false" outlineLevel="0" max="19" min="19" style="1" width="18"/>
  </cols>
  <sheetData>
    <row r="1" customFormat="false" ht="30" hidden="false" customHeight="true" outlineLevel="0" collapsed="false">
      <c r="A1" s="2" t="s">
        <v>454</v>
      </c>
    </row>
    <row r="2" customFormat="false" ht="15" hidden="false" customHeight="true" outlineLevel="0" collapsed="false">
      <c r="A2" s="3" t="s">
        <v>455</v>
      </c>
    </row>
    <row r="3" customFormat="false" ht="26.25" hidden="false" customHeight="true" outlineLevel="0" collapsed="false">
      <c r="A3" s="4" t="s">
        <v>456</v>
      </c>
      <c r="B3" s="4" t="s">
        <v>344</v>
      </c>
      <c r="C3" s="4" t="s">
        <v>291</v>
      </c>
      <c r="D3" s="4" t="s">
        <v>345</v>
      </c>
      <c r="E3" s="4" t="s">
        <v>457</v>
      </c>
      <c r="F3" s="4" t="s">
        <v>458</v>
      </c>
      <c r="G3" s="4" t="s">
        <v>459</v>
      </c>
      <c r="H3" s="4" t="s">
        <v>460</v>
      </c>
      <c r="I3" s="4" t="s">
        <v>461</v>
      </c>
      <c r="J3" s="4" t="s">
        <v>462</v>
      </c>
      <c r="K3" s="4" t="s">
        <v>463</v>
      </c>
      <c r="L3" s="4" t="s">
        <v>464</v>
      </c>
      <c r="M3" s="4" t="s">
        <v>305</v>
      </c>
      <c r="N3" s="4" t="s">
        <v>465</v>
      </c>
      <c r="O3" s="4" t="s">
        <v>466</v>
      </c>
      <c r="P3" s="4" t="s">
        <v>5</v>
      </c>
      <c r="Q3" s="4" t="s">
        <v>49</v>
      </c>
      <c r="R3" s="4" t="s">
        <v>467</v>
      </c>
      <c r="S3" s="4" t="s">
        <v>468</v>
      </c>
    </row>
    <row r="4" customFormat="false" ht="15" hidden="false" customHeight="true" outlineLevel="0" collapsed="false">
      <c r="A4" s="5" t="s">
        <v>469</v>
      </c>
      <c r="B4" s="5" t="s">
        <v>310</v>
      </c>
      <c r="C4" s="5" t="s">
        <v>311</v>
      </c>
      <c r="D4" s="5" t="s">
        <v>360</v>
      </c>
      <c r="E4" s="5" t="n">
        <v>0</v>
      </c>
      <c r="F4" s="5" t="s">
        <v>470</v>
      </c>
      <c r="G4" s="5" t="s">
        <v>471</v>
      </c>
      <c r="H4" s="5" t="n">
        <v>1</v>
      </c>
      <c r="I4" s="5" t="s">
        <v>472</v>
      </c>
      <c r="J4" s="5"/>
      <c r="K4" s="5" t="n">
        <f aca="false">SUM(K5:K10)</f>
        <v>43.95</v>
      </c>
      <c r="L4" s="5"/>
      <c r="M4" s="5"/>
      <c r="N4" s="5"/>
      <c r="O4" s="5" t="s">
        <v>473</v>
      </c>
      <c r="P4" s="5" t="s">
        <v>474</v>
      </c>
      <c r="Q4" s="5" t="s">
        <v>475</v>
      </c>
      <c r="R4" s="6" t="s">
        <v>470</v>
      </c>
      <c r="S4" s="6" t="n">
        <f aca="false">IF(N4="",H4,ROUND(H4/(1-N4/100),2))</f>
        <v>1</v>
      </c>
    </row>
    <row r="5" customFormat="false" ht="15" hidden="false" customHeight="true" outlineLevel="0" collapsed="false">
      <c r="A5" s="5" t="s">
        <v>469</v>
      </c>
      <c r="B5" s="5" t="s">
        <v>310</v>
      </c>
      <c r="C5" s="5" t="s">
        <v>311</v>
      </c>
      <c r="D5" s="5" t="s">
        <v>360</v>
      </c>
      <c r="E5" s="5" t="n">
        <v>1</v>
      </c>
      <c r="F5" s="5" t="s">
        <v>414</v>
      </c>
      <c r="G5" s="5" t="s">
        <v>415</v>
      </c>
      <c r="H5" s="5" t="n">
        <v>1</v>
      </c>
      <c r="I5" s="5" t="s">
        <v>472</v>
      </c>
      <c r="J5" s="5" t="n">
        <v>22.5</v>
      </c>
      <c r="K5" s="5" t="n">
        <f aca="false">H5*J5</f>
        <v>22.5</v>
      </c>
      <c r="L5" s="5" t="s">
        <v>476</v>
      </c>
      <c r="M5" s="5" t="n">
        <v>14</v>
      </c>
      <c r="N5" s="5" t="n">
        <v>2</v>
      </c>
      <c r="O5" s="5" t="s">
        <v>473</v>
      </c>
      <c r="P5" s="5" t="s">
        <v>474</v>
      </c>
      <c r="Q5" s="5"/>
      <c r="R5" s="6" t="s">
        <v>310</v>
      </c>
      <c r="S5" s="6" t="n">
        <f aca="false">IF(N5="",H5,ROUND(H5/(1-N5/100),2))</f>
        <v>1.02</v>
      </c>
    </row>
    <row r="6" customFormat="false" ht="15" hidden="false" customHeight="true" outlineLevel="0" collapsed="false">
      <c r="A6" s="5" t="s">
        <v>469</v>
      </c>
      <c r="B6" s="5" t="s">
        <v>310</v>
      </c>
      <c r="C6" s="5" t="s">
        <v>311</v>
      </c>
      <c r="D6" s="5" t="s">
        <v>360</v>
      </c>
      <c r="E6" s="5" t="n">
        <v>1</v>
      </c>
      <c r="F6" s="5" t="s">
        <v>433</v>
      </c>
      <c r="G6" s="5" t="s">
        <v>477</v>
      </c>
      <c r="H6" s="5" t="n">
        <v>1</v>
      </c>
      <c r="I6" s="5" t="s">
        <v>472</v>
      </c>
      <c r="J6" s="5" t="n">
        <v>4.75</v>
      </c>
      <c r="K6" s="5" t="n">
        <f aca="false">H6*J6</f>
        <v>4.75</v>
      </c>
      <c r="L6" s="5" t="s">
        <v>478</v>
      </c>
      <c r="M6" s="5" t="n">
        <v>7</v>
      </c>
      <c r="N6" s="5" t="n">
        <v>1</v>
      </c>
      <c r="O6" s="5" t="s">
        <v>473</v>
      </c>
      <c r="P6" s="5" t="s">
        <v>474</v>
      </c>
      <c r="Q6" s="5"/>
      <c r="R6" s="6" t="s">
        <v>310</v>
      </c>
      <c r="S6" s="6" t="n">
        <f aca="false">IF(N6="",H6,ROUND(H6/(1-N6/100),2))</f>
        <v>1.01</v>
      </c>
    </row>
    <row r="7" customFormat="false" ht="15" hidden="false" customHeight="true" outlineLevel="0" collapsed="false">
      <c r="A7" s="5" t="s">
        <v>469</v>
      </c>
      <c r="B7" s="5" t="s">
        <v>310</v>
      </c>
      <c r="C7" s="5" t="s">
        <v>311</v>
      </c>
      <c r="D7" s="5" t="s">
        <v>360</v>
      </c>
      <c r="E7" s="5" t="n">
        <v>1</v>
      </c>
      <c r="F7" s="5" t="s">
        <v>441</v>
      </c>
      <c r="G7" s="5" t="s">
        <v>479</v>
      </c>
      <c r="H7" s="5" t="n">
        <v>1</v>
      </c>
      <c r="I7" s="5" t="s">
        <v>472</v>
      </c>
      <c r="J7" s="5" t="n">
        <v>6.2</v>
      </c>
      <c r="K7" s="5" t="n">
        <f aca="false">H7*J7</f>
        <v>6.2</v>
      </c>
      <c r="L7" s="5" t="s">
        <v>480</v>
      </c>
      <c r="M7" s="5" t="n">
        <v>10</v>
      </c>
      <c r="N7" s="5" t="n">
        <v>1</v>
      </c>
      <c r="O7" s="5" t="s">
        <v>473</v>
      </c>
      <c r="P7" s="5" t="s">
        <v>474</v>
      </c>
      <c r="Q7" s="5"/>
      <c r="R7" s="6" t="s">
        <v>310</v>
      </c>
      <c r="S7" s="6" t="n">
        <f aca="false">IF(N7="",H7,ROUND(H7/(1-N7/100),2))</f>
        <v>1.01</v>
      </c>
    </row>
    <row r="8" customFormat="false" ht="15" hidden="false" customHeight="true" outlineLevel="0" collapsed="false">
      <c r="A8" s="5" t="s">
        <v>469</v>
      </c>
      <c r="B8" s="5" t="s">
        <v>310</v>
      </c>
      <c r="C8" s="5" t="s">
        <v>311</v>
      </c>
      <c r="D8" s="5" t="s">
        <v>360</v>
      </c>
      <c r="E8" s="5" t="n">
        <v>1</v>
      </c>
      <c r="F8" s="5" t="s">
        <v>481</v>
      </c>
      <c r="G8" s="5" t="s">
        <v>482</v>
      </c>
      <c r="H8" s="5" t="n">
        <v>1</v>
      </c>
      <c r="I8" s="5" t="s">
        <v>472</v>
      </c>
      <c r="J8" s="5" t="n">
        <v>3.8</v>
      </c>
      <c r="K8" s="5" t="n">
        <f aca="false">H8*J8</f>
        <v>3.8</v>
      </c>
      <c r="L8" s="5" t="s">
        <v>476</v>
      </c>
      <c r="M8" s="5" t="n">
        <v>14</v>
      </c>
      <c r="N8" s="5" t="n">
        <v>1</v>
      </c>
      <c r="O8" s="5" t="s">
        <v>473</v>
      </c>
      <c r="P8" s="5" t="s">
        <v>474</v>
      </c>
      <c r="Q8" s="5"/>
      <c r="R8" s="6" t="s">
        <v>310</v>
      </c>
      <c r="S8" s="6" t="n">
        <f aca="false">IF(N8="",H8,ROUND(H8/(1-N8/100),2))</f>
        <v>1.01</v>
      </c>
    </row>
    <row r="9" customFormat="false" ht="15" hidden="false" customHeight="true" outlineLevel="0" collapsed="false">
      <c r="A9" s="5" t="s">
        <v>469</v>
      </c>
      <c r="B9" s="5" t="s">
        <v>310</v>
      </c>
      <c r="C9" s="5" t="s">
        <v>311</v>
      </c>
      <c r="D9" s="5" t="s">
        <v>360</v>
      </c>
      <c r="E9" s="5" t="n">
        <v>1</v>
      </c>
      <c r="F9" s="5" t="s">
        <v>483</v>
      </c>
      <c r="G9" s="5" t="s">
        <v>484</v>
      </c>
      <c r="H9" s="5" t="n">
        <v>1</v>
      </c>
      <c r="I9" s="5" t="s">
        <v>472</v>
      </c>
      <c r="J9" s="5" t="n">
        <v>5.5</v>
      </c>
      <c r="K9" s="5" t="n">
        <f aca="false">H9*J9</f>
        <v>5.5</v>
      </c>
      <c r="L9" s="5" t="s">
        <v>480</v>
      </c>
      <c r="M9" s="5" t="n">
        <v>7</v>
      </c>
      <c r="N9" s="5" t="n">
        <v>0</v>
      </c>
      <c r="O9" s="5" t="s">
        <v>473</v>
      </c>
      <c r="P9" s="5" t="s">
        <v>474</v>
      </c>
      <c r="Q9" s="5"/>
      <c r="R9" s="6" t="s">
        <v>310</v>
      </c>
      <c r="S9" s="6" t="n">
        <f aca="false">IF(N9="",H9,ROUND(H9/(1-N9/100),2))</f>
        <v>1</v>
      </c>
    </row>
    <row r="10" customFormat="false" ht="15" hidden="false" customHeight="true" outlineLevel="0" collapsed="false">
      <c r="A10" s="5" t="s">
        <v>469</v>
      </c>
      <c r="B10" s="5" t="s">
        <v>310</v>
      </c>
      <c r="C10" s="5" t="s">
        <v>311</v>
      </c>
      <c r="D10" s="5" t="s">
        <v>360</v>
      </c>
      <c r="E10" s="5" t="n">
        <v>1</v>
      </c>
      <c r="F10" s="5" t="s">
        <v>485</v>
      </c>
      <c r="G10" s="5" t="s">
        <v>486</v>
      </c>
      <c r="H10" s="5" t="n">
        <v>1</v>
      </c>
      <c r="I10" s="5" t="s">
        <v>472</v>
      </c>
      <c r="J10" s="5" t="n">
        <v>1.2</v>
      </c>
      <c r="K10" s="5" t="n">
        <f aca="false">H10*J10</f>
        <v>1.2</v>
      </c>
      <c r="L10" s="5" t="s">
        <v>478</v>
      </c>
      <c r="M10" s="5" t="n">
        <v>3</v>
      </c>
      <c r="N10" s="5" t="n">
        <v>5</v>
      </c>
      <c r="O10" s="5" t="s">
        <v>473</v>
      </c>
      <c r="P10" s="5" t="s">
        <v>474</v>
      </c>
      <c r="Q10" s="5"/>
      <c r="R10" s="6" t="s">
        <v>310</v>
      </c>
      <c r="S10" s="6" t="n">
        <f aca="false">IF(N10="",H10,ROUND(H10/(1-N10/100),2))</f>
        <v>1.05</v>
      </c>
    </row>
    <row r="11" customFormat="false" ht="15" hidden="false" customHeight="true" outlineLevel="0" collapsed="false">
      <c r="A11" s="5" t="s">
        <v>487</v>
      </c>
      <c r="B11" s="5" t="s">
        <v>321</v>
      </c>
      <c r="C11" s="5" t="s">
        <v>322</v>
      </c>
      <c r="D11" s="5" t="s">
        <v>368</v>
      </c>
      <c r="E11" s="5" t="n">
        <v>0</v>
      </c>
      <c r="F11" s="5" t="s">
        <v>470</v>
      </c>
      <c r="G11" s="5" t="s">
        <v>471</v>
      </c>
      <c r="H11" s="5" t="n">
        <v>1</v>
      </c>
      <c r="I11" s="5" t="s">
        <v>472</v>
      </c>
      <c r="J11" s="5"/>
      <c r="K11" s="5" t="n">
        <f aca="false">SUM(K12:K15)</f>
        <v>58.7</v>
      </c>
      <c r="L11" s="5"/>
      <c r="M11" s="5"/>
      <c r="N11" s="5"/>
      <c r="O11" s="5" t="s">
        <v>258</v>
      </c>
      <c r="P11" s="5" t="s">
        <v>474</v>
      </c>
      <c r="Q11" s="5"/>
      <c r="R11" s="6" t="s">
        <v>470</v>
      </c>
      <c r="S11" s="6" t="n">
        <f aca="false">IF(N11="",H11,ROUND(H11/(1-N11/100),2))</f>
        <v>1</v>
      </c>
    </row>
    <row r="12" customFormat="false" ht="15" hidden="false" customHeight="true" outlineLevel="0" collapsed="false">
      <c r="A12" s="5" t="s">
        <v>487</v>
      </c>
      <c r="B12" s="5" t="s">
        <v>321</v>
      </c>
      <c r="C12" s="5" t="s">
        <v>322</v>
      </c>
      <c r="D12" s="5" t="s">
        <v>368</v>
      </c>
      <c r="E12" s="5" t="n">
        <v>1</v>
      </c>
      <c r="F12" s="5" t="s">
        <v>488</v>
      </c>
      <c r="G12" s="5" t="s">
        <v>489</v>
      </c>
      <c r="H12" s="5" t="n">
        <v>1</v>
      </c>
      <c r="I12" s="5" t="s">
        <v>472</v>
      </c>
      <c r="J12" s="5" t="n">
        <v>28</v>
      </c>
      <c r="K12" s="5" t="n">
        <f aca="false">H12*J12</f>
        <v>28</v>
      </c>
      <c r="L12" s="5" t="s">
        <v>476</v>
      </c>
      <c r="M12" s="5" t="n">
        <v>14</v>
      </c>
      <c r="N12" s="5" t="n">
        <v>2</v>
      </c>
      <c r="O12" s="5" t="s">
        <v>258</v>
      </c>
      <c r="P12" s="5" t="s">
        <v>474</v>
      </c>
      <c r="Q12" s="5"/>
      <c r="R12" s="6" t="s">
        <v>321</v>
      </c>
      <c r="S12" s="6" t="n">
        <f aca="false">IF(N12="",H12,ROUND(H12/(1-N12/100),2))</f>
        <v>1.02</v>
      </c>
    </row>
    <row r="13" customFormat="false" ht="15" hidden="false" customHeight="true" outlineLevel="0" collapsed="false">
      <c r="A13" s="5" t="s">
        <v>487</v>
      </c>
      <c r="B13" s="5" t="s">
        <v>321</v>
      </c>
      <c r="C13" s="5" t="s">
        <v>322</v>
      </c>
      <c r="D13" s="5" t="s">
        <v>368</v>
      </c>
      <c r="E13" s="5" t="n">
        <v>1</v>
      </c>
      <c r="F13" s="5" t="s">
        <v>424</v>
      </c>
      <c r="G13" s="5" t="s">
        <v>425</v>
      </c>
      <c r="H13" s="5" t="n">
        <v>1</v>
      </c>
      <c r="I13" s="5" t="s">
        <v>472</v>
      </c>
      <c r="J13" s="5" t="n">
        <v>18</v>
      </c>
      <c r="K13" s="5" t="n">
        <f aca="false">H13*J13</f>
        <v>18</v>
      </c>
      <c r="L13" s="5" t="s">
        <v>421</v>
      </c>
      <c r="M13" s="5" t="n">
        <v>21</v>
      </c>
      <c r="N13" s="5" t="n">
        <v>1</v>
      </c>
      <c r="O13" s="5" t="s">
        <v>258</v>
      </c>
      <c r="P13" s="5" t="s">
        <v>474</v>
      </c>
      <c r="Q13" s="5"/>
      <c r="R13" s="6" t="s">
        <v>321</v>
      </c>
      <c r="S13" s="6" t="n">
        <f aca="false">IF(N13="",H13,ROUND(H13/(1-N13/100),2))</f>
        <v>1.01</v>
      </c>
    </row>
    <row r="14" customFormat="false" ht="15" hidden="false" customHeight="true" outlineLevel="0" collapsed="false">
      <c r="A14" s="5" t="s">
        <v>487</v>
      </c>
      <c r="B14" s="5" t="s">
        <v>321</v>
      </c>
      <c r="C14" s="5" t="s">
        <v>322</v>
      </c>
      <c r="D14" s="5" t="s">
        <v>368</v>
      </c>
      <c r="E14" s="5" t="n">
        <v>1</v>
      </c>
      <c r="F14" s="5" t="s">
        <v>490</v>
      </c>
      <c r="G14" s="5" t="s">
        <v>491</v>
      </c>
      <c r="H14" s="5" t="n">
        <v>1</v>
      </c>
      <c r="I14" s="5" t="s">
        <v>472</v>
      </c>
      <c r="J14" s="5" t="n">
        <v>8.5</v>
      </c>
      <c r="K14" s="5" t="n">
        <f aca="false">H14*J14</f>
        <v>8.5</v>
      </c>
      <c r="L14" s="5" t="s">
        <v>478</v>
      </c>
      <c r="M14" s="5" t="n">
        <v>7</v>
      </c>
      <c r="N14" s="5" t="n">
        <v>2</v>
      </c>
      <c r="O14" s="5" t="s">
        <v>258</v>
      </c>
      <c r="P14" s="5" t="s">
        <v>474</v>
      </c>
      <c r="Q14" s="5"/>
      <c r="R14" s="6" t="s">
        <v>321</v>
      </c>
      <c r="S14" s="6" t="n">
        <f aca="false">IF(N14="",H14,ROUND(H14/(1-N14/100),2))</f>
        <v>1.02</v>
      </c>
    </row>
    <row r="15" customFormat="false" ht="15" hidden="false" customHeight="true" outlineLevel="0" collapsed="false">
      <c r="A15" s="5" t="s">
        <v>487</v>
      </c>
      <c r="B15" s="5" t="s">
        <v>321</v>
      </c>
      <c r="C15" s="5" t="s">
        <v>322</v>
      </c>
      <c r="D15" s="5" t="s">
        <v>368</v>
      </c>
      <c r="E15" s="5" t="n">
        <v>1</v>
      </c>
      <c r="F15" s="5" t="s">
        <v>492</v>
      </c>
      <c r="G15" s="5" t="s">
        <v>493</v>
      </c>
      <c r="H15" s="5" t="n">
        <v>1</v>
      </c>
      <c r="I15" s="5" t="s">
        <v>472</v>
      </c>
      <c r="J15" s="5" t="n">
        <v>4.2</v>
      </c>
      <c r="K15" s="5" t="n">
        <f aca="false">H15*J15</f>
        <v>4.2</v>
      </c>
      <c r="L15" s="5" t="s">
        <v>476</v>
      </c>
      <c r="M15" s="5" t="n">
        <v>14</v>
      </c>
      <c r="N15" s="5" t="n">
        <v>1</v>
      </c>
      <c r="O15" s="5" t="s">
        <v>258</v>
      </c>
      <c r="P15" s="5" t="s">
        <v>474</v>
      </c>
      <c r="Q15" s="5"/>
      <c r="R15" s="6" t="s">
        <v>321</v>
      </c>
      <c r="S15" s="6" t="n">
        <f aca="false">IF(N15="",H15,ROUND(H15/(1-N15/100),2))</f>
        <v>1.01</v>
      </c>
    </row>
  </sheetData>
  <dataValidations count="1">
    <dataValidation allowBlank="true" errorStyle="stop" operator="between" showDropDown="false" showErrorMessage="false" showInputMessage="false" sqref="P4:P500" type="list">
      <formula1>"Active,Draft,Deprecated,Archived"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0"/>
    <col collapsed="false" customWidth="true" hidden="false" outlineLevel="0" max="4" min="4" style="1" width="15"/>
    <col collapsed="false" customWidth="true" hidden="false" outlineLevel="0" max="5" min="5" style="1" width="12"/>
    <col collapsed="false" customWidth="true" hidden="false" outlineLevel="0" max="6" min="6" style="1" width="22"/>
    <col collapsed="false" customWidth="true" hidden="false" outlineLevel="0" max="7" min="7" style="1" width="15"/>
    <col collapsed="false" customWidth="true" hidden="false" outlineLevel="0" max="8" min="8" style="1" width="35"/>
    <col collapsed="false" customWidth="true" hidden="false" outlineLevel="0" max="9" min="9" style="1" width="10"/>
    <col collapsed="false" customWidth="true" hidden="false" outlineLevel="0" max="10" min="10" style="1" width="25"/>
    <col collapsed="false" customWidth="true" hidden="false" outlineLevel="0" max="11" min="11" style="1" width="14"/>
    <col collapsed="false" customWidth="true" hidden="false" outlineLevel="0" max="12" min="12" style="1" width="12"/>
    <col collapsed="false" customWidth="true" hidden="false" outlineLevel="0" max="13" min="13" style="1" width="16"/>
    <col collapsed="false" customWidth="true" hidden="false" outlineLevel="0" max="14" min="14" style="1" width="15"/>
  </cols>
  <sheetData>
    <row r="1" customFormat="false" ht="17.25" hidden="false" customHeight="true" outlineLevel="0" collapsed="false">
      <c r="A1" s="12" t="s">
        <v>494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customFormat="false" ht="15" hidden="false" customHeight="true" outlineLevel="0" collapsed="false">
      <c r="A2" s="13" t="s">
        <v>495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customFormat="false" ht="26.25" hidden="false" customHeight="true" outlineLevel="0" collapsed="false">
      <c r="A3" s="4" t="s">
        <v>496</v>
      </c>
      <c r="B3" s="4" t="s">
        <v>290</v>
      </c>
      <c r="C3" s="4" t="s">
        <v>497</v>
      </c>
      <c r="D3" s="4" t="s">
        <v>498</v>
      </c>
      <c r="E3" s="4" t="s">
        <v>499</v>
      </c>
      <c r="F3" s="4" t="s">
        <v>73</v>
      </c>
      <c r="G3" s="4" t="s">
        <v>500</v>
      </c>
      <c r="H3" s="4" t="s">
        <v>501</v>
      </c>
      <c r="I3" s="4" t="s">
        <v>502</v>
      </c>
      <c r="J3" s="4" t="s">
        <v>85</v>
      </c>
      <c r="K3" s="4" t="s">
        <v>503</v>
      </c>
      <c r="L3" s="4" t="s">
        <v>5</v>
      </c>
      <c r="M3" s="4" t="s">
        <v>504</v>
      </c>
      <c r="N3" s="4" t="s">
        <v>505</v>
      </c>
    </row>
    <row r="4" customFormat="false" ht="15" hidden="false" customHeight="true" outlineLevel="0" collapsed="false">
      <c r="A4" s="14" t="s">
        <v>506</v>
      </c>
      <c r="B4" s="14" t="s">
        <v>93</v>
      </c>
      <c r="C4" s="14" t="s">
        <v>507</v>
      </c>
      <c r="D4" s="14"/>
      <c r="E4" s="14" t="s">
        <v>90</v>
      </c>
      <c r="F4" s="14" t="s">
        <v>508</v>
      </c>
      <c r="G4" s="14" t="s">
        <v>509</v>
      </c>
      <c r="H4" s="14" t="s">
        <v>510</v>
      </c>
      <c r="I4" s="14" t="s">
        <v>511</v>
      </c>
      <c r="J4" s="14" t="s">
        <v>512</v>
      </c>
      <c r="K4" s="14" t="s">
        <v>513</v>
      </c>
      <c r="L4" s="14" t="s">
        <v>426</v>
      </c>
      <c r="M4" s="14"/>
      <c r="N4" s="15" t="n">
        <f aca="false">E4+730</f>
        <v>46852</v>
      </c>
    </row>
    <row r="5" customFormat="false" ht="15" hidden="false" customHeight="true" outlineLevel="0" collapsed="false">
      <c r="A5" s="6" t="s">
        <v>514</v>
      </c>
      <c r="B5" s="6" t="s">
        <v>93</v>
      </c>
      <c r="C5" s="6" t="s">
        <v>507</v>
      </c>
      <c r="D5" s="6"/>
      <c r="E5" s="6" t="s">
        <v>515</v>
      </c>
      <c r="F5" s="6" t="s">
        <v>516</v>
      </c>
      <c r="G5" s="6" t="s">
        <v>517</v>
      </c>
      <c r="H5" s="6" t="s">
        <v>518</v>
      </c>
      <c r="I5" s="6" t="s">
        <v>511</v>
      </c>
      <c r="J5" s="6" t="s">
        <v>519</v>
      </c>
      <c r="K5" s="6" t="s">
        <v>520</v>
      </c>
      <c r="L5" s="6" t="s">
        <v>112</v>
      </c>
      <c r="M5" s="6"/>
      <c r="N5" s="16" t="n">
        <f aca="false">E5+730</f>
        <v>46782</v>
      </c>
    </row>
    <row r="6" customFormat="false" ht="15" hidden="false" customHeight="true" outlineLevel="0" collapsed="false">
      <c r="A6" s="14" t="s">
        <v>521</v>
      </c>
      <c r="B6" s="14" t="s">
        <v>93</v>
      </c>
      <c r="C6" s="14" t="s">
        <v>522</v>
      </c>
      <c r="D6" s="14"/>
      <c r="E6" s="14" t="s">
        <v>156</v>
      </c>
      <c r="F6" s="14" t="s">
        <v>523</v>
      </c>
      <c r="G6" s="14" t="s">
        <v>524</v>
      </c>
      <c r="H6" s="14" t="s">
        <v>525</v>
      </c>
      <c r="I6" s="14" t="s">
        <v>511</v>
      </c>
      <c r="J6" s="14" t="s">
        <v>526</v>
      </c>
      <c r="K6" s="14" t="s">
        <v>527</v>
      </c>
      <c r="L6" s="14" t="s">
        <v>112</v>
      </c>
      <c r="M6" s="14" t="s">
        <v>528</v>
      </c>
      <c r="N6" s="15" t="n">
        <f aca="false">E6+730</f>
        <v>46829</v>
      </c>
    </row>
    <row r="7" customFormat="false" ht="15" hidden="false" customHeight="true" outlineLevel="0" collapsed="false">
      <c r="A7" s="6" t="s">
        <v>529</v>
      </c>
      <c r="B7" s="6" t="s">
        <v>93</v>
      </c>
      <c r="C7" s="6" t="s">
        <v>522</v>
      </c>
      <c r="D7" s="6"/>
      <c r="E7" s="6" t="s">
        <v>166</v>
      </c>
      <c r="F7" s="6" t="s">
        <v>264</v>
      </c>
      <c r="G7" s="6" t="s">
        <v>530</v>
      </c>
      <c r="H7" s="6" t="s">
        <v>531</v>
      </c>
      <c r="I7" s="6" t="s">
        <v>511</v>
      </c>
      <c r="J7" s="6" t="s">
        <v>167</v>
      </c>
      <c r="K7" s="6" t="s">
        <v>532</v>
      </c>
      <c r="L7" s="6" t="s">
        <v>112</v>
      </c>
      <c r="M7" s="6"/>
      <c r="N7" s="16" t="n">
        <f aca="false">E7+730</f>
        <v>46816</v>
      </c>
    </row>
    <row r="8" customFormat="false" ht="15" hidden="false" customHeight="true" outlineLevel="0" collapsed="false">
      <c r="A8" s="14" t="s">
        <v>533</v>
      </c>
      <c r="B8" s="14" t="s">
        <v>93</v>
      </c>
      <c r="C8" s="14" t="s">
        <v>522</v>
      </c>
      <c r="D8" s="14"/>
      <c r="E8" s="14" t="s">
        <v>534</v>
      </c>
      <c r="F8" s="14" t="s">
        <v>535</v>
      </c>
      <c r="G8" s="14" t="s">
        <v>536</v>
      </c>
      <c r="H8" s="14" t="s">
        <v>537</v>
      </c>
      <c r="I8" s="14" t="s">
        <v>511</v>
      </c>
      <c r="J8" s="14" t="s">
        <v>538</v>
      </c>
      <c r="K8" s="14" t="s">
        <v>539</v>
      </c>
      <c r="L8" s="14" t="s">
        <v>112</v>
      </c>
      <c r="M8" s="14"/>
      <c r="N8" s="15" t="n">
        <f aca="false">E8+730</f>
        <v>46800</v>
      </c>
    </row>
    <row r="9" customFormat="false" ht="23.25" hidden="false" customHeight="true" outlineLevel="0" collapsed="false">
      <c r="A9" s="6" t="s">
        <v>540</v>
      </c>
      <c r="B9" s="6" t="s">
        <v>93</v>
      </c>
      <c r="C9" s="6" t="s">
        <v>522</v>
      </c>
      <c r="D9" s="6"/>
      <c r="E9" s="6" t="s">
        <v>541</v>
      </c>
      <c r="F9" s="6" t="s">
        <v>223</v>
      </c>
      <c r="G9" s="6" t="s">
        <v>542</v>
      </c>
      <c r="H9" s="6" t="s">
        <v>543</v>
      </c>
      <c r="I9" s="6" t="s">
        <v>511</v>
      </c>
      <c r="J9" s="6" t="s">
        <v>225</v>
      </c>
      <c r="K9" s="6" t="s">
        <v>544</v>
      </c>
      <c r="L9" s="6" t="s">
        <v>112</v>
      </c>
      <c r="M9" s="6"/>
      <c r="N9" s="16" t="n">
        <f aca="false">E9+730</f>
        <v>46831</v>
      </c>
    </row>
    <row r="10" customFormat="false" ht="23.25" hidden="false" customHeight="true" outlineLevel="0" collapsed="false">
      <c r="A10" s="14" t="s">
        <v>545</v>
      </c>
      <c r="B10" s="14" t="s">
        <v>93</v>
      </c>
      <c r="C10" s="14" t="s">
        <v>522</v>
      </c>
      <c r="D10" s="14"/>
      <c r="E10" s="14" t="s">
        <v>213</v>
      </c>
      <c r="F10" s="14" t="s">
        <v>240</v>
      </c>
      <c r="G10" s="14" t="s">
        <v>546</v>
      </c>
      <c r="H10" s="14" t="s">
        <v>547</v>
      </c>
      <c r="I10" s="14" t="s">
        <v>511</v>
      </c>
      <c r="J10" s="14" t="s">
        <v>242</v>
      </c>
      <c r="K10" s="14" t="s">
        <v>548</v>
      </c>
      <c r="L10" s="14" t="s">
        <v>112</v>
      </c>
      <c r="M10" s="14" t="s">
        <v>549</v>
      </c>
      <c r="N10" s="15" t="n">
        <f aca="false">E10+730</f>
        <v>46807</v>
      </c>
    </row>
    <row r="11" customFormat="false" ht="23.25" hidden="false" customHeight="true" outlineLevel="0" collapsed="false">
      <c r="A11" s="6" t="s">
        <v>550</v>
      </c>
      <c r="B11" s="6" t="s">
        <v>93</v>
      </c>
      <c r="C11" s="6" t="s">
        <v>522</v>
      </c>
      <c r="D11" s="6"/>
      <c r="E11" s="6" t="s">
        <v>551</v>
      </c>
      <c r="F11" s="6" t="s">
        <v>552</v>
      </c>
      <c r="G11" s="6" t="s">
        <v>553</v>
      </c>
      <c r="H11" s="6" t="s">
        <v>554</v>
      </c>
      <c r="I11" s="6" t="s">
        <v>555</v>
      </c>
      <c r="J11" s="6" t="s">
        <v>556</v>
      </c>
      <c r="K11" s="6" t="s">
        <v>557</v>
      </c>
      <c r="L11" s="6" t="s">
        <v>112</v>
      </c>
      <c r="M11" s="6" t="s">
        <v>558</v>
      </c>
      <c r="N11" s="16" t="n">
        <f aca="false">E11+730</f>
        <v>46781</v>
      </c>
    </row>
    <row r="12" customFormat="false" ht="15" hidden="false" customHeight="true" outlineLevel="0" collapsed="false">
      <c r="A12" s="14" t="s">
        <v>559</v>
      </c>
      <c r="B12" s="14" t="s">
        <v>93</v>
      </c>
      <c r="C12" s="14" t="s">
        <v>560</v>
      </c>
      <c r="D12" s="14"/>
      <c r="E12" s="14" t="s">
        <v>166</v>
      </c>
      <c r="F12" s="14" t="s">
        <v>278</v>
      </c>
      <c r="G12" s="14" t="s">
        <v>561</v>
      </c>
      <c r="H12" s="14" t="s">
        <v>562</v>
      </c>
      <c r="I12" s="14" t="s">
        <v>511</v>
      </c>
      <c r="J12" s="14" t="s">
        <v>280</v>
      </c>
      <c r="K12" s="14" t="s">
        <v>563</v>
      </c>
      <c r="L12" s="14" t="s">
        <v>112</v>
      </c>
      <c r="M12" s="14"/>
      <c r="N12" s="15" t="n">
        <f aca="false">E12+730</f>
        <v>46816</v>
      </c>
    </row>
    <row r="13" customFormat="false" ht="15" hidden="false" customHeight="true" outlineLevel="0" collapsed="false">
      <c r="A13" s="6" t="s">
        <v>564</v>
      </c>
      <c r="B13" s="6" t="s">
        <v>93</v>
      </c>
      <c r="C13" s="6" t="s">
        <v>560</v>
      </c>
      <c r="D13" s="6"/>
      <c r="E13" s="6" t="s">
        <v>565</v>
      </c>
      <c r="F13" s="6" t="s">
        <v>566</v>
      </c>
      <c r="G13" s="6" t="s">
        <v>567</v>
      </c>
      <c r="H13" s="6" t="s">
        <v>568</v>
      </c>
      <c r="I13" s="6" t="s">
        <v>555</v>
      </c>
      <c r="J13" s="6" t="s">
        <v>569</v>
      </c>
      <c r="K13" s="6" t="s">
        <v>570</v>
      </c>
      <c r="L13" s="6" t="s">
        <v>112</v>
      </c>
      <c r="M13" s="6"/>
      <c r="N13" s="16" t="n">
        <f aca="false">E13+730</f>
        <v>46814</v>
      </c>
    </row>
    <row r="14" customFormat="false" ht="15" hidden="false" customHeight="true" outlineLevel="0" collapsed="false">
      <c r="A14" s="14" t="s">
        <v>571</v>
      </c>
      <c r="B14" s="14" t="s">
        <v>93</v>
      </c>
      <c r="C14" s="14" t="s">
        <v>560</v>
      </c>
      <c r="D14" s="14"/>
      <c r="E14" s="14" t="s">
        <v>173</v>
      </c>
      <c r="F14" s="14" t="s">
        <v>572</v>
      </c>
      <c r="G14" s="14" t="s">
        <v>573</v>
      </c>
      <c r="H14" s="14" t="s">
        <v>574</v>
      </c>
      <c r="I14" s="14" t="s">
        <v>555</v>
      </c>
      <c r="J14" s="14" t="s">
        <v>207</v>
      </c>
      <c r="K14" s="14" t="s">
        <v>575</v>
      </c>
      <c r="L14" s="14" t="s">
        <v>112</v>
      </c>
      <c r="M14" s="14"/>
      <c r="N14" s="15" t="n">
        <f aca="false">E14+730</f>
        <v>46824</v>
      </c>
    </row>
    <row r="15" customFormat="false" ht="15" hidden="false" customHeight="true" outlineLevel="0" collapsed="false">
      <c r="A15" s="6" t="s">
        <v>576</v>
      </c>
      <c r="B15" s="6" t="s">
        <v>93</v>
      </c>
      <c r="C15" s="6" t="s">
        <v>560</v>
      </c>
      <c r="D15" s="6"/>
      <c r="E15" s="6" t="s">
        <v>577</v>
      </c>
      <c r="F15" s="6" t="s">
        <v>268</v>
      </c>
      <c r="G15" s="6" t="s">
        <v>578</v>
      </c>
      <c r="H15" s="6" t="s">
        <v>579</v>
      </c>
      <c r="I15" s="6" t="s">
        <v>555</v>
      </c>
      <c r="J15" s="6" t="s">
        <v>270</v>
      </c>
      <c r="K15" s="6" t="s">
        <v>580</v>
      </c>
      <c r="L15" s="6" t="s">
        <v>112</v>
      </c>
      <c r="M15" s="6" t="s">
        <v>581</v>
      </c>
      <c r="N15" s="16" t="n">
        <f aca="false">E15+730</f>
        <v>46821</v>
      </c>
    </row>
    <row r="16" customFormat="false" ht="23.25" hidden="false" customHeight="true" outlineLevel="0" collapsed="false">
      <c r="A16" s="14" t="s">
        <v>582</v>
      </c>
      <c r="B16" s="14" t="s">
        <v>93</v>
      </c>
      <c r="C16" s="14" t="s">
        <v>560</v>
      </c>
      <c r="D16" s="14"/>
      <c r="E16" s="14" t="s">
        <v>166</v>
      </c>
      <c r="F16" s="14" t="s">
        <v>583</v>
      </c>
      <c r="G16" s="14" t="s">
        <v>584</v>
      </c>
      <c r="H16" s="14" t="s">
        <v>585</v>
      </c>
      <c r="I16" s="14" t="s">
        <v>555</v>
      </c>
      <c r="J16" s="14" t="s">
        <v>586</v>
      </c>
      <c r="K16" s="14" t="s">
        <v>587</v>
      </c>
      <c r="L16" s="14" t="s">
        <v>112</v>
      </c>
      <c r="M16" s="14"/>
      <c r="N16" s="15" t="n">
        <f aca="false">E16+730</f>
        <v>46816</v>
      </c>
    </row>
    <row r="17" customFormat="false" ht="15" hidden="false" customHeight="true" outlineLevel="0" collapsed="false">
      <c r="A17" s="6" t="s">
        <v>588</v>
      </c>
      <c r="B17" s="6" t="s">
        <v>93</v>
      </c>
      <c r="C17" s="6" t="s">
        <v>560</v>
      </c>
      <c r="D17" s="6"/>
      <c r="E17" s="6" t="s">
        <v>589</v>
      </c>
      <c r="F17" s="6" t="s">
        <v>259</v>
      </c>
      <c r="G17" s="6" t="s">
        <v>590</v>
      </c>
      <c r="H17" s="6" t="s">
        <v>591</v>
      </c>
      <c r="I17" s="6" t="s">
        <v>555</v>
      </c>
      <c r="J17" s="6" t="s">
        <v>261</v>
      </c>
      <c r="K17" s="6" t="s">
        <v>592</v>
      </c>
      <c r="L17" s="6" t="s">
        <v>112</v>
      </c>
      <c r="M17" s="6"/>
      <c r="N17" s="16" t="n">
        <f aca="false">E17+730</f>
        <v>46823</v>
      </c>
    </row>
    <row r="18" customFormat="false" ht="15" hidden="false" customHeight="true" outlineLevel="0" collapsed="false">
      <c r="A18" s="14" t="s">
        <v>593</v>
      </c>
      <c r="B18" s="14" t="s">
        <v>93</v>
      </c>
      <c r="C18" s="14" t="s">
        <v>560</v>
      </c>
      <c r="D18" s="14"/>
      <c r="E18" s="14" t="s">
        <v>166</v>
      </c>
      <c r="F18" s="14" t="s">
        <v>594</v>
      </c>
      <c r="G18" s="14" t="s">
        <v>595</v>
      </c>
      <c r="H18" s="14" t="s">
        <v>596</v>
      </c>
      <c r="I18" s="14" t="s">
        <v>555</v>
      </c>
      <c r="J18" s="14" t="s">
        <v>597</v>
      </c>
      <c r="K18" s="14" t="s">
        <v>598</v>
      </c>
      <c r="L18" s="14" t="s">
        <v>112</v>
      </c>
      <c r="M18" s="14"/>
      <c r="N18" s="15" t="n">
        <f aca="false">E18+730</f>
        <v>46816</v>
      </c>
    </row>
    <row r="19" customFormat="false" ht="15" hidden="false" customHeight="true" outlineLevel="0" collapsed="false">
      <c r="A19" s="6" t="s">
        <v>599</v>
      </c>
      <c r="B19" s="6" t="s">
        <v>93</v>
      </c>
      <c r="C19" s="6" t="s">
        <v>560</v>
      </c>
      <c r="D19" s="6"/>
      <c r="E19" s="6" t="s">
        <v>589</v>
      </c>
      <c r="F19" s="6" t="s">
        <v>600</v>
      </c>
      <c r="G19" s="6" t="s">
        <v>601</v>
      </c>
      <c r="H19" s="6" t="s">
        <v>602</v>
      </c>
      <c r="I19" s="6" t="s">
        <v>555</v>
      </c>
      <c r="J19" s="6" t="s">
        <v>247</v>
      </c>
      <c r="K19" s="6" t="s">
        <v>603</v>
      </c>
      <c r="L19" s="6" t="s">
        <v>112</v>
      </c>
      <c r="M19" s="6" t="s">
        <v>604</v>
      </c>
      <c r="N19" s="16" t="n">
        <f aca="false">E19+730</f>
        <v>46823</v>
      </c>
    </row>
    <row r="20" customFormat="false" ht="23.25" hidden="false" customHeight="true" outlineLevel="0" collapsed="false">
      <c r="A20" s="14" t="s">
        <v>605</v>
      </c>
      <c r="B20" s="14" t="s">
        <v>93</v>
      </c>
      <c r="C20" s="14" t="s">
        <v>560</v>
      </c>
      <c r="D20" s="14"/>
      <c r="E20" s="14" t="s">
        <v>176</v>
      </c>
      <c r="F20" s="14" t="s">
        <v>606</v>
      </c>
      <c r="G20" s="14" t="s">
        <v>607</v>
      </c>
      <c r="H20" s="14" t="s">
        <v>608</v>
      </c>
      <c r="I20" s="14" t="s">
        <v>555</v>
      </c>
      <c r="J20" s="14" t="s">
        <v>609</v>
      </c>
      <c r="K20" s="14" t="s">
        <v>610</v>
      </c>
      <c r="L20" s="14" t="s">
        <v>112</v>
      </c>
      <c r="M20" s="14"/>
      <c r="N20" s="15" t="n">
        <f aca="false">E20+730</f>
        <v>46822</v>
      </c>
    </row>
    <row r="21" customFormat="false" ht="15" hidden="false" customHeight="true" outlineLevel="0" collapsed="false">
      <c r="A21" s="6" t="s">
        <v>611</v>
      </c>
      <c r="B21" s="6" t="s">
        <v>93</v>
      </c>
      <c r="C21" s="6" t="s">
        <v>560</v>
      </c>
      <c r="D21" s="6"/>
      <c r="E21" s="6" t="s">
        <v>173</v>
      </c>
      <c r="F21" s="6" t="s">
        <v>209</v>
      </c>
      <c r="G21" s="6" t="s">
        <v>612</v>
      </c>
      <c r="H21" s="6" t="s">
        <v>613</v>
      </c>
      <c r="I21" s="6" t="s">
        <v>555</v>
      </c>
      <c r="J21" s="6" t="s">
        <v>211</v>
      </c>
      <c r="K21" s="6" t="s">
        <v>614</v>
      </c>
      <c r="L21" s="6" t="s">
        <v>112</v>
      </c>
      <c r="M21" s="6"/>
      <c r="N21" s="16" t="n">
        <f aca="false">E21+730</f>
        <v>46824</v>
      </c>
    </row>
    <row r="22" customFormat="false" ht="23.25" hidden="false" customHeight="true" outlineLevel="0" collapsed="false">
      <c r="A22" s="14" t="s">
        <v>615</v>
      </c>
      <c r="B22" s="14" t="s">
        <v>93</v>
      </c>
      <c r="C22" s="14" t="s">
        <v>560</v>
      </c>
      <c r="D22" s="14"/>
      <c r="E22" s="14" t="s">
        <v>410</v>
      </c>
      <c r="F22" s="14" t="s">
        <v>181</v>
      </c>
      <c r="G22" s="14" t="s">
        <v>616</v>
      </c>
      <c r="H22" s="14" t="s">
        <v>617</v>
      </c>
      <c r="I22" s="14" t="s">
        <v>555</v>
      </c>
      <c r="J22" s="14" t="s">
        <v>183</v>
      </c>
      <c r="K22" s="14" t="s">
        <v>618</v>
      </c>
      <c r="L22" s="14" t="s">
        <v>112</v>
      </c>
      <c r="M22" s="14"/>
      <c r="N22" s="15" t="n">
        <f aca="false">E22+730</f>
        <v>46843</v>
      </c>
    </row>
    <row r="23" customFormat="false" ht="15" hidden="false" customHeight="true" outlineLevel="0" collapsed="false">
      <c r="A23" s="6" t="s">
        <v>619</v>
      </c>
      <c r="B23" s="6" t="s">
        <v>93</v>
      </c>
      <c r="C23" s="6" t="s">
        <v>560</v>
      </c>
      <c r="D23" s="6"/>
      <c r="E23" s="6" t="s">
        <v>173</v>
      </c>
      <c r="F23" s="6" t="s">
        <v>214</v>
      </c>
      <c r="G23" s="6" t="s">
        <v>620</v>
      </c>
      <c r="H23" s="6" t="s">
        <v>621</v>
      </c>
      <c r="I23" s="6" t="s">
        <v>555</v>
      </c>
      <c r="J23" s="6" t="s">
        <v>216</v>
      </c>
      <c r="K23" s="6" t="s">
        <v>622</v>
      </c>
      <c r="L23" s="6" t="s">
        <v>112</v>
      </c>
      <c r="M23" s="6"/>
      <c r="N23" s="16" t="n">
        <f aca="false">E23+730</f>
        <v>46824</v>
      </c>
    </row>
    <row r="24" customFormat="false" ht="23.25" hidden="false" customHeight="true" outlineLevel="0" collapsed="false">
      <c r="A24" s="14" t="s">
        <v>623</v>
      </c>
      <c r="B24" s="14" t="s">
        <v>93</v>
      </c>
      <c r="C24" s="14" t="s">
        <v>560</v>
      </c>
      <c r="D24" s="14"/>
      <c r="E24" s="14" t="s">
        <v>589</v>
      </c>
      <c r="F24" s="14" t="s">
        <v>624</v>
      </c>
      <c r="G24" s="14" t="s">
        <v>625</v>
      </c>
      <c r="H24" s="14" t="s">
        <v>626</v>
      </c>
      <c r="I24" s="14" t="s">
        <v>555</v>
      </c>
      <c r="J24" s="14" t="s">
        <v>627</v>
      </c>
      <c r="K24" s="14" t="s">
        <v>628</v>
      </c>
      <c r="L24" s="14" t="s">
        <v>112</v>
      </c>
      <c r="M24" s="14"/>
      <c r="N24" s="15" t="n">
        <f aca="false">E24+730</f>
        <v>46823</v>
      </c>
    </row>
    <row r="25" customFormat="false" ht="15" hidden="false" customHeight="true" outlineLevel="0" collapsed="false">
      <c r="A25" s="6" t="s">
        <v>629</v>
      </c>
      <c r="B25" s="6" t="s">
        <v>93</v>
      </c>
      <c r="C25" s="6" t="s">
        <v>560</v>
      </c>
      <c r="D25" s="6"/>
      <c r="E25" s="6" t="s">
        <v>589</v>
      </c>
      <c r="F25" s="6" t="s">
        <v>254</v>
      </c>
      <c r="G25" s="6" t="s">
        <v>630</v>
      </c>
      <c r="H25" s="6" t="s">
        <v>631</v>
      </c>
      <c r="I25" s="6" t="s">
        <v>555</v>
      </c>
      <c r="J25" s="6" t="s">
        <v>256</v>
      </c>
      <c r="K25" s="6" t="s">
        <v>632</v>
      </c>
      <c r="L25" s="6" t="s">
        <v>112</v>
      </c>
      <c r="M25" s="6"/>
      <c r="N25" s="16" t="n">
        <f aca="false">E25+730</f>
        <v>46823</v>
      </c>
    </row>
    <row r="26" customFormat="false" ht="15" hidden="false" customHeight="true" outlineLevel="0" collapsed="false">
      <c r="A26" s="14" t="s">
        <v>633</v>
      </c>
      <c r="B26" s="14" t="s">
        <v>93</v>
      </c>
      <c r="C26" s="14" t="s">
        <v>560</v>
      </c>
      <c r="D26" s="14"/>
      <c r="E26" s="14" t="s">
        <v>176</v>
      </c>
      <c r="F26" s="14" t="s">
        <v>634</v>
      </c>
      <c r="G26" s="14" t="s">
        <v>635</v>
      </c>
      <c r="H26" s="14" t="s">
        <v>636</v>
      </c>
      <c r="I26" s="14" t="s">
        <v>555</v>
      </c>
      <c r="J26" s="14" t="s">
        <v>637</v>
      </c>
      <c r="K26" s="14" t="s">
        <v>638</v>
      </c>
      <c r="L26" s="14" t="s">
        <v>112</v>
      </c>
      <c r="M26" s="14"/>
      <c r="N26" s="15" t="n">
        <f aca="false">E26+730</f>
        <v>46822</v>
      </c>
    </row>
    <row r="27" customFormat="false" ht="15" hidden="false" customHeight="true" outlineLevel="0" collapsed="false">
      <c r="A27" s="6" t="s">
        <v>639</v>
      </c>
      <c r="B27" s="6" t="s">
        <v>93</v>
      </c>
      <c r="C27" s="6" t="s">
        <v>560</v>
      </c>
      <c r="D27" s="6"/>
      <c r="E27" s="6" t="s">
        <v>589</v>
      </c>
      <c r="F27" s="6" t="s">
        <v>231</v>
      </c>
      <c r="G27" s="6" t="s">
        <v>640</v>
      </c>
      <c r="H27" s="6" t="s">
        <v>641</v>
      </c>
      <c r="I27" s="6" t="s">
        <v>555</v>
      </c>
      <c r="J27" s="6" t="s">
        <v>233</v>
      </c>
      <c r="K27" s="6" t="s">
        <v>642</v>
      </c>
      <c r="L27" s="6" t="s">
        <v>112</v>
      </c>
      <c r="M27" s="6"/>
      <c r="N27" s="16" t="n">
        <f aca="false">E27+730</f>
        <v>46823</v>
      </c>
    </row>
    <row r="28" customFormat="false" ht="15" hidden="false" customHeight="true" outlineLevel="0" collapsed="false">
      <c r="A28" s="14" t="s">
        <v>643</v>
      </c>
      <c r="B28" s="14" t="s">
        <v>93</v>
      </c>
      <c r="C28" s="14" t="s">
        <v>560</v>
      </c>
      <c r="D28" s="14"/>
      <c r="E28" s="14" t="s">
        <v>166</v>
      </c>
      <c r="F28" s="14" t="s">
        <v>644</v>
      </c>
      <c r="G28" s="14" t="s">
        <v>645</v>
      </c>
      <c r="H28" s="14" t="s">
        <v>646</v>
      </c>
      <c r="I28" s="14" t="s">
        <v>555</v>
      </c>
      <c r="J28" s="14" t="s">
        <v>647</v>
      </c>
      <c r="K28" s="14" t="s">
        <v>648</v>
      </c>
      <c r="L28" s="14" t="s">
        <v>426</v>
      </c>
      <c r="M28" s="14"/>
      <c r="N28" s="15" t="n">
        <f aca="false">E28+730</f>
        <v>46816</v>
      </c>
    </row>
    <row r="29" customFormat="false" ht="15" hidden="false" customHeight="true" outlineLevel="0" collapsed="false">
      <c r="A29" s="6" t="s">
        <v>649</v>
      </c>
      <c r="B29" s="6" t="s">
        <v>93</v>
      </c>
      <c r="C29" s="6" t="s">
        <v>560</v>
      </c>
      <c r="D29" s="6"/>
      <c r="E29" s="6" t="s">
        <v>213</v>
      </c>
      <c r="F29" s="6" t="s">
        <v>650</v>
      </c>
      <c r="G29" s="6" t="s">
        <v>651</v>
      </c>
      <c r="H29" s="6" t="s">
        <v>652</v>
      </c>
      <c r="I29" s="6" t="s">
        <v>555</v>
      </c>
      <c r="J29" s="6" t="s">
        <v>653</v>
      </c>
      <c r="K29" s="6" t="s">
        <v>654</v>
      </c>
      <c r="L29" s="6" t="s">
        <v>112</v>
      </c>
      <c r="M29" s="6"/>
      <c r="N29" s="16" t="n">
        <f aca="false">E29+730</f>
        <v>46807</v>
      </c>
    </row>
    <row r="30" customFormat="false" ht="23.25" hidden="false" customHeight="true" outlineLevel="0" collapsed="false">
      <c r="A30" s="14" t="s">
        <v>655</v>
      </c>
      <c r="B30" s="14" t="s">
        <v>93</v>
      </c>
      <c r="C30" s="14" t="s">
        <v>560</v>
      </c>
      <c r="D30" s="14"/>
      <c r="E30" s="14" t="s">
        <v>173</v>
      </c>
      <c r="F30" s="14" t="s">
        <v>219</v>
      </c>
      <c r="G30" s="14" t="s">
        <v>656</v>
      </c>
      <c r="H30" s="14" t="s">
        <v>657</v>
      </c>
      <c r="I30" s="14" t="s">
        <v>555</v>
      </c>
      <c r="J30" s="14" t="s">
        <v>221</v>
      </c>
      <c r="K30" s="14" t="s">
        <v>658</v>
      </c>
      <c r="L30" s="14" t="s">
        <v>112</v>
      </c>
      <c r="M30" s="14"/>
      <c r="N30" s="15" t="n">
        <f aca="false">E30+730</f>
        <v>46824</v>
      </c>
    </row>
    <row r="31" customFormat="false" ht="23.25" hidden="false" customHeight="true" outlineLevel="0" collapsed="false">
      <c r="A31" s="6" t="s">
        <v>659</v>
      </c>
      <c r="B31" s="6" t="s">
        <v>93</v>
      </c>
      <c r="C31" s="6" t="s">
        <v>560</v>
      </c>
      <c r="D31" s="6"/>
      <c r="E31" s="6" t="s">
        <v>176</v>
      </c>
      <c r="F31" s="6" t="s">
        <v>660</v>
      </c>
      <c r="G31" s="6" t="s">
        <v>661</v>
      </c>
      <c r="H31" s="6" t="s">
        <v>662</v>
      </c>
      <c r="I31" s="6" t="s">
        <v>555</v>
      </c>
      <c r="J31" s="6" t="s">
        <v>663</v>
      </c>
      <c r="K31" s="6" t="s">
        <v>664</v>
      </c>
      <c r="L31" s="6" t="s">
        <v>112</v>
      </c>
      <c r="M31" s="6"/>
      <c r="N31" s="16" t="n">
        <f aca="false">E31+730</f>
        <v>46822</v>
      </c>
    </row>
    <row r="32" customFormat="false" ht="15" hidden="false" customHeight="true" outlineLevel="0" collapsed="false">
      <c r="A32" s="14" t="s">
        <v>665</v>
      </c>
      <c r="B32" s="14" t="s">
        <v>93</v>
      </c>
      <c r="C32" s="14" t="s">
        <v>560</v>
      </c>
      <c r="D32" s="14"/>
      <c r="E32" s="14" t="s">
        <v>176</v>
      </c>
      <c r="F32" s="14" t="s">
        <v>666</v>
      </c>
      <c r="G32" s="14" t="s">
        <v>667</v>
      </c>
      <c r="H32" s="14" t="s">
        <v>668</v>
      </c>
      <c r="I32" s="14" t="s">
        <v>555</v>
      </c>
      <c r="J32" s="14" t="s">
        <v>669</v>
      </c>
      <c r="K32" s="14" t="s">
        <v>670</v>
      </c>
      <c r="L32" s="14" t="s">
        <v>112</v>
      </c>
      <c r="M32" s="14"/>
      <c r="N32" s="15" t="n">
        <f aca="false">E32+730</f>
        <v>46822</v>
      </c>
    </row>
    <row r="33" customFormat="false" ht="15" hidden="false" customHeight="true" outlineLevel="0" collapsed="false">
      <c r="A33" s="6" t="s">
        <v>671</v>
      </c>
      <c r="B33" s="6" t="s">
        <v>93</v>
      </c>
      <c r="C33" s="6" t="s">
        <v>560</v>
      </c>
      <c r="D33" s="6"/>
      <c r="E33" s="6" t="s">
        <v>156</v>
      </c>
      <c r="F33" s="6" t="s">
        <v>283</v>
      </c>
      <c r="G33" s="6" t="s">
        <v>672</v>
      </c>
      <c r="H33" s="6" t="s">
        <v>673</v>
      </c>
      <c r="I33" s="6" t="s">
        <v>555</v>
      </c>
      <c r="J33" s="6" t="s">
        <v>285</v>
      </c>
      <c r="K33" s="6" t="s">
        <v>674</v>
      </c>
      <c r="L33" s="6" t="s">
        <v>112</v>
      </c>
      <c r="M33" s="6" t="s">
        <v>675</v>
      </c>
      <c r="N33" s="16" t="n">
        <f aca="false">E33+730</f>
        <v>46829</v>
      </c>
    </row>
    <row r="34" customFormat="false" ht="23.25" hidden="false" customHeight="true" outlineLevel="0" collapsed="false">
      <c r="A34" s="14" t="s">
        <v>676</v>
      </c>
      <c r="B34" s="14" t="s">
        <v>93</v>
      </c>
      <c r="C34" s="14" t="s">
        <v>560</v>
      </c>
      <c r="D34" s="14"/>
      <c r="E34" s="14" t="s">
        <v>213</v>
      </c>
      <c r="F34" s="14" t="s">
        <v>677</v>
      </c>
      <c r="G34" s="14" t="s">
        <v>678</v>
      </c>
      <c r="H34" s="14" t="s">
        <v>679</v>
      </c>
      <c r="I34" s="14" t="s">
        <v>555</v>
      </c>
      <c r="J34" s="14" t="s">
        <v>680</v>
      </c>
      <c r="K34" s="14" t="s">
        <v>681</v>
      </c>
      <c r="L34" s="14" t="s">
        <v>112</v>
      </c>
      <c r="M34" s="14" t="s">
        <v>682</v>
      </c>
      <c r="N34" s="15" t="n">
        <f aca="false">E34+730</f>
        <v>46807</v>
      </c>
    </row>
    <row r="35" customFormat="false" ht="23.25" hidden="false" customHeight="true" outlineLevel="0" collapsed="false">
      <c r="A35" s="6" t="s">
        <v>683</v>
      </c>
      <c r="B35" s="6" t="s">
        <v>93</v>
      </c>
      <c r="C35" s="6" t="s">
        <v>560</v>
      </c>
      <c r="D35" s="6"/>
      <c r="E35" s="6" t="s">
        <v>173</v>
      </c>
      <c r="F35" s="6" t="s">
        <v>190</v>
      </c>
      <c r="G35" s="6" t="s">
        <v>684</v>
      </c>
      <c r="H35" s="6" t="s">
        <v>685</v>
      </c>
      <c r="I35" s="6" t="s">
        <v>555</v>
      </c>
      <c r="J35" s="6" t="s">
        <v>192</v>
      </c>
      <c r="K35" s="6" t="s">
        <v>686</v>
      </c>
      <c r="L35" s="6" t="s">
        <v>112</v>
      </c>
      <c r="M35" s="6"/>
      <c r="N35" s="16" t="n">
        <f aca="false">E35+730</f>
        <v>46824</v>
      </c>
    </row>
    <row r="36" customFormat="false" ht="23.25" hidden="false" customHeight="true" outlineLevel="0" collapsed="false">
      <c r="A36" s="14" t="s">
        <v>687</v>
      </c>
      <c r="B36" s="14" t="s">
        <v>93</v>
      </c>
      <c r="C36" s="14" t="s">
        <v>560</v>
      </c>
      <c r="D36" s="14"/>
      <c r="E36" s="14" t="s">
        <v>589</v>
      </c>
      <c r="F36" s="14" t="s">
        <v>235</v>
      </c>
      <c r="G36" s="14" t="s">
        <v>688</v>
      </c>
      <c r="H36" s="14" t="s">
        <v>689</v>
      </c>
      <c r="I36" s="14" t="s">
        <v>555</v>
      </c>
      <c r="J36" s="14" t="s">
        <v>237</v>
      </c>
      <c r="K36" s="14" t="s">
        <v>690</v>
      </c>
      <c r="L36" s="14" t="s">
        <v>112</v>
      </c>
      <c r="M36" s="14"/>
      <c r="N36" s="15" t="n">
        <f aca="false">E36+730</f>
        <v>46823</v>
      </c>
    </row>
    <row r="37" customFormat="false" ht="15" hidden="false" customHeight="true" outlineLevel="0" collapsed="false">
      <c r="A37" s="6" t="s">
        <v>691</v>
      </c>
      <c r="B37" s="6" t="s">
        <v>93</v>
      </c>
      <c r="C37" s="6" t="s">
        <v>560</v>
      </c>
      <c r="D37" s="6"/>
      <c r="E37" s="6" t="s">
        <v>213</v>
      </c>
      <c r="F37" s="6" t="s">
        <v>692</v>
      </c>
      <c r="G37" s="6" t="s">
        <v>693</v>
      </c>
      <c r="H37" s="6" t="s">
        <v>694</v>
      </c>
      <c r="I37" s="6" t="s">
        <v>555</v>
      </c>
      <c r="J37" s="6" t="s">
        <v>695</v>
      </c>
      <c r="K37" s="6" t="s">
        <v>696</v>
      </c>
      <c r="L37" s="6" t="s">
        <v>112</v>
      </c>
      <c r="M37" s="6"/>
      <c r="N37" s="16" t="n">
        <f aca="false">E37+730</f>
        <v>46807</v>
      </c>
    </row>
    <row r="38" customFormat="false" ht="15" hidden="false" customHeight="true" outlineLevel="0" collapsed="false">
      <c r="A38" s="14" t="s">
        <v>697</v>
      </c>
      <c r="B38" s="14" t="s">
        <v>93</v>
      </c>
      <c r="C38" s="14" t="s">
        <v>560</v>
      </c>
      <c r="D38" s="14"/>
      <c r="E38" s="14" t="s">
        <v>589</v>
      </c>
      <c r="F38" s="14" t="s">
        <v>698</v>
      </c>
      <c r="G38" s="14" t="s">
        <v>699</v>
      </c>
      <c r="H38" s="14" t="s">
        <v>700</v>
      </c>
      <c r="I38" s="14" t="s">
        <v>555</v>
      </c>
      <c r="J38" s="14" t="s">
        <v>701</v>
      </c>
      <c r="K38" s="14" t="s">
        <v>702</v>
      </c>
      <c r="L38" s="14" t="s">
        <v>112</v>
      </c>
      <c r="M38" s="14" t="s">
        <v>703</v>
      </c>
      <c r="N38" s="15" t="n">
        <f aca="false">E38+730</f>
        <v>46823</v>
      </c>
    </row>
    <row r="39" customFormat="false" ht="15" hidden="false" customHeight="true" outlineLevel="0" collapsed="false">
      <c r="A39" s="6" t="s">
        <v>704</v>
      </c>
      <c r="B39" s="6" t="s">
        <v>93</v>
      </c>
      <c r="C39" s="6" t="s">
        <v>560</v>
      </c>
      <c r="D39" s="6"/>
      <c r="E39" s="6" t="s">
        <v>534</v>
      </c>
      <c r="F39" s="6" t="s">
        <v>523</v>
      </c>
      <c r="G39" s="6" t="s">
        <v>524</v>
      </c>
      <c r="H39" s="6" t="s">
        <v>525</v>
      </c>
      <c r="I39" s="6" t="s">
        <v>511</v>
      </c>
      <c r="J39" s="6" t="s">
        <v>705</v>
      </c>
      <c r="K39" s="6" t="s">
        <v>706</v>
      </c>
      <c r="L39" s="6" t="s">
        <v>112</v>
      </c>
      <c r="M39" s="6" t="s">
        <v>528</v>
      </c>
      <c r="N39" s="16" t="n">
        <f aca="false">E39+730</f>
        <v>46800</v>
      </c>
    </row>
    <row r="40" customFormat="false" ht="15" hidden="false" customHeight="true" outlineLevel="0" collapsed="false">
      <c r="A40" s="14" t="s">
        <v>707</v>
      </c>
      <c r="B40" s="14" t="s">
        <v>93</v>
      </c>
      <c r="C40" s="14" t="s">
        <v>560</v>
      </c>
      <c r="D40" s="14"/>
      <c r="E40" s="14" t="s">
        <v>173</v>
      </c>
      <c r="F40" s="14" t="s">
        <v>195</v>
      </c>
      <c r="G40" s="14" t="s">
        <v>708</v>
      </c>
      <c r="H40" s="14" t="s">
        <v>709</v>
      </c>
      <c r="I40" s="14" t="s">
        <v>555</v>
      </c>
      <c r="J40" s="14" t="s">
        <v>197</v>
      </c>
      <c r="K40" s="14" t="s">
        <v>710</v>
      </c>
      <c r="L40" s="14" t="s">
        <v>112</v>
      </c>
      <c r="M40" s="14"/>
      <c r="N40" s="15" t="n">
        <f aca="false">E40+730</f>
        <v>46824</v>
      </c>
    </row>
    <row r="41" customFormat="false" ht="15" hidden="false" customHeight="true" outlineLevel="0" collapsed="false">
      <c r="A41" s="6" t="s">
        <v>711</v>
      </c>
      <c r="B41" s="6" t="s">
        <v>93</v>
      </c>
      <c r="C41" s="6" t="s">
        <v>560</v>
      </c>
      <c r="D41" s="6"/>
      <c r="E41" s="6" t="s">
        <v>213</v>
      </c>
      <c r="F41" s="6" t="s">
        <v>712</v>
      </c>
      <c r="G41" s="6" t="s">
        <v>713</v>
      </c>
      <c r="H41" s="6" t="s">
        <v>714</v>
      </c>
      <c r="I41" s="6" t="s">
        <v>555</v>
      </c>
      <c r="J41" s="6" t="s">
        <v>715</v>
      </c>
      <c r="K41" s="6" t="s">
        <v>716</v>
      </c>
      <c r="L41" s="6" t="s">
        <v>112</v>
      </c>
      <c r="M41" s="6"/>
      <c r="N41" s="16" t="n">
        <f aca="false">E41+730</f>
        <v>46807</v>
      </c>
    </row>
    <row r="42" customFormat="false" ht="23.25" hidden="false" customHeight="true" outlineLevel="0" collapsed="false">
      <c r="A42" s="14" t="s">
        <v>717</v>
      </c>
      <c r="B42" s="14" t="s">
        <v>93</v>
      </c>
      <c r="C42" s="14" t="s">
        <v>560</v>
      </c>
      <c r="D42" s="14"/>
      <c r="E42" s="14" t="s">
        <v>541</v>
      </c>
      <c r="F42" s="14" t="s">
        <v>186</v>
      </c>
      <c r="G42" s="14" t="s">
        <v>718</v>
      </c>
      <c r="H42" s="14" t="s">
        <v>719</v>
      </c>
      <c r="I42" s="14" t="s">
        <v>555</v>
      </c>
      <c r="J42" s="14" t="s">
        <v>188</v>
      </c>
      <c r="K42" s="14" t="s">
        <v>720</v>
      </c>
      <c r="L42" s="14" t="s">
        <v>112</v>
      </c>
      <c r="M42" s="14"/>
      <c r="N42" s="15" t="n">
        <f aca="false">E42+730</f>
        <v>46831</v>
      </c>
    </row>
    <row r="43" customFormat="false" ht="23.25" hidden="false" customHeight="true" outlineLevel="0" collapsed="false">
      <c r="A43" s="6" t="s">
        <v>721</v>
      </c>
      <c r="B43" s="6" t="s">
        <v>93</v>
      </c>
      <c r="C43" s="6"/>
      <c r="D43" s="6"/>
      <c r="E43" s="6"/>
      <c r="F43" s="6" t="s">
        <v>552</v>
      </c>
      <c r="G43" s="6" t="s">
        <v>553</v>
      </c>
      <c r="H43" s="6" t="s">
        <v>554</v>
      </c>
      <c r="I43" s="6" t="s">
        <v>722</v>
      </c>
      <c r="J43" s="6" t="s">
        <v>723</v>
      </c>
      <c r="K43" s="6" t="s">
        <v>724</v>
      </c>
      <c r="L43" s="6" t="s">
        <v>112</v>
      </c>
      <c r="M43" s="6" t="s">
        <v>558</v>
      </c>
      <c r="N43" s="6"/>
    </row>
    <row r="44" customFormat="false" ht="15" hidden="false" customHeight="true" outlineLevel="0" collapsed="false">
      <c r="A44" s="14" t="s">
        <v>721</v>
      </c>
      <c r="B44" s="14" t="s">
        <v>93</v>
      </c>
      <c r="C44" s="14"/>
      <c r="D44" s="14"/>
      <c r="E44" s="14"/>
      <c r="F44" s="14" t="s">
        <v>725</v>
      </c>
      <c r="G44" s="14"/>
      <c r="H44" s="14"/>
      <c r="I44" s="14"/>
      <c r="J44" s="14"/>
      <c r="K44" s="14" t="s">
        <v>726</v>
      </c>
      <c r="L44" s="14" t="s">
        <v>727</v>
      </c>
      <c r="M44" s="14" t="s">
        <v>728</v>
      </c>
      <c r="N44" s="14"/>
    </row>
    <row r="45" customFormat="false" ht="15" hidden="false" customHeight="true" outlineLevel="0" collapsed="false">
      <c r="A45" s="6" t="s">
        <v>721</v>
      </c>
      <c r="B45" s="6" t="s">
        <v>93</v>
      </c>
      <c r="C45" s="6"/>
      <c r="D45" s="6"/>
      <c r="E45" s="6"/>
      <c r="F45" s="6" t="s">
        <v>128</v>
      </c>
      <c r="G45" s="6"/>
      <c r="H45" s="6"/>
      <c r="I45" s="6"/>
      <c r="J45" s="6"/>
      <c r="K45" s="6" t="s">
        <v>729</v>
      </c>
      <c r="L45" s="6" t="s">
        <v>727</v>
      </c>
      <c r="M45" s="6" t="s">
        <v>730</v>
      </c>
      <c r="N45" s="6"/>
    </row>
    <row r="46" customFormat="false" ht="15" hidden="false" customHeight="true" outlineLevel="0" collapsed="false">
      <c r="A46" s="14" t="s">
        <v>721</v>
      </c>
      <c r="B46" s="14" t="s">
        <v>93</v>
      </c>
      <c r="C46" s="14"/>
      <c r="D46" s="14"/>
      <c r="E46" s="14"/>
      <c r="F46" s="14" t="s">
        <v>731</v>
      </c>
      <c r="G46" s="14"/>
      <c r="H46" s="14"/>
      <c r="I46" s="14"/>
      <c r="J46" s="14"/>
      <c r="K46" s="14" t="s">
        <v>732</v>
      </c>
      <c r="L46" s="14" t="s">
        <v>727</v>
      </c>
      <c r="M46" s="14" t="s">
        <v>733</v>
      </c>
      <c r="N46" s="14"/>
    </row>
    <row r="47" customFormat="false" ht="15" hidden="false" customHeight="true" outlineLevel="0" collapsed="false">
      <c r="A47" s="6" t="s">
        <v>721</v>
      </c>
      <c r="B47" s="6" t="s">
        <v>93</v>
      </c>
      <c r="C47" s="6"/>
      <c r="D47" s="6"/>
      <c r="E47" s="6"/>
      <c r="F47" s="6" t="s">
        <v>734</v>
      </c>
      <c r="G47" s="6"/>
      <c r="H47" s="6"/>
      <c r="I47" s="6"/>
      <c r="J47" s="6"/>
      <c r="K47" s="6" t="s">
        <v>735</v>
      </c>
      <c r="L47" s="6" t="s">
        <v>727</v>
      </c>
      <c r="M47" s="6" t="s">
        <v>736</v>
      </c>
      <c r="N47" s="6"/>
    </row>
    <row r="48" customFormat="false" ht="15" hidden="false" customHeight="true" outlineLevel="0" collapsed="false">
      <c r="A48" s="14" t="s">
        <v>721</v>
      </c>
      <c r="B48" s="14" t="s">
        <v>93</v>
      </c>
      <c r="C48" s="14"/>
      <c r="D48" s="14"/>
      <c r="E48" s="14"/>
      <c r="F48" s="14" t="s">
        <v>737</v>
      </c>
      <c r="G48" s="14"/>
      <c r="H48" s="14"/>
      <c r="I48" s="14"/>
      <c r="J48" s="14"/>
      <c r="K48" s="14" t="s">
        <v>738</v>
      </c>
      <c r="L48" s="14" t="s">
        <v>727</v>
      </c>
      <c r="M48" s="14" t="s">
        <v>739</v>
      </c>
      <c r="N48" s="14"/>
    </row>
    <row r="49" customFormat="false" ht="15" hidden="false" customHeight="true" outlineLevel="0" collapsed="false">
      <c r="A49" s="6" t="s">
        <v>721</v>
      </c>
      <c r="B49" s="6" t="s">
        <v>93</v>
      </c>
      <c r="C49" s="6"/>
      <c r="D49" s="6"/>
      <c r="E49" s="6"/>
      <c r="F49" s="6" t="s">
        <v>740</v>
      </c>
      <c r="G49" s="6"/>
      <c r="H49" s="6"/>
      <c r="I49" s="6"/>
      <c r="J49" s="6"/>
      <c r="K49" s="6" t="s">
        <v>741</v>
      </c>
      <c r="L49" s="6" t="s">
        <v>727</v>
      </c>
      <c r="M49" s="6" t="s">
        <v>742</v>
      </c>
      <c r="N49" s="6"/>
    </row>
    <row r="50" customFormat="false" ht="15" hidden="false" customHeight="true" outlineLevel="0" collapsed="false">
      <c r="A50" s="14" t="s">
        <v>721</v>
      </c>
      <c r="B50" s="14" t="s">
        <v>93</v>
      </c>
      <c r="C50" s="14"/>
      <c r="D50" s="14"/>
      <c r="E50" s="14"/>
      <c r="F50" s="14" t="s">
        <v>743</v>
      </c>
      <c r="G50" s="14"/>
      <c r="H50" s="14"/>
      <c r="I50" s="14"/>
      <c r="J50" s="14"/>
      <c r="K50" s="14" t="s">
        <v>744</v>
      </c>
      <c r="L50" s="14" t="s">
        <v>727</v>
      </c>
      <c r="M50" s="14" t="s">
        <v>745</v>
      </c>
      <c r="N50" s="14"/>
    </row>
    <row r="51" customFormat="false" ht="15" hidden="false" customHeight="true" outlineLevel="0" collapsed="false">
      <c r="A51" s="6" t="s">
        <v>721</v>
      </c>
      <c r="B51" s="6" t="s">
        <v>93</v>
      </c>
      <c r="C51" s="6"/>
      <c r="D51" s="6"/>
      <c r="E51" s="6"/>
      <c r="F51" s="6" t="s">
        <v>746</v>
      </c>
      <c r="G51" s="6"/>
      <c r="H51" s="6"/>
      <c r="I51" s="6"/>
      <c r="J51" s="6"/>
      <c r="K51" s="6" t="s">
        <v>747</v>
      </c>
      <c r="L51" s="6" t="s">
        <v>727</v>
      </c>
      <c r="M51" s="6" t="s">
        <v>748</v>
      </c>
      <c r="N51" s="6"/>
    </row>
    <row r="52" customFormat="false" ht="23.25" hidden="false" customHeight="true" outlineLevel="0" collapsed="false">
      <c r="A52" s="14" t="s">
        <v>721</v>
      </c>
      <c r="B52" s="14" t="s">
        <v>93</v>
      </c>
      <c r="C52" s="14"/>
      <c r="D52" s="14"/>
      <c r="E52" s="14"/>
      <c r="F52" s="14" t="s">
        <v>228</v>
      </c>
      <c r="G52" s="14" t="s">
        <v>749</v>
      </c>
      <c r="H52" s="14" t="s">
        <v>750</v>
      </c>
      <c r="I52" s="14"/>
      <c r="J52" s="14"/>
      <c r="K52" s="14" t="s">
        <v>751</v>
      </c>
      <c r="L52" s="14" t="s">
        <v>727</v>
      </c>
      <c r="M52" s="14" t="s">
        <v>604</v>
      </c>
      <c r="N52" s="14"/>
    </row>
    <row r="53" customFormat="false" ht="23.25" hidden="false" customHeight="true" outlineLevel="0" collapsed="false">
      <c r="A53" s="6" t="s">
        <v>721</v>
      </c>
      <c r="B53" s="6" t="s">
        <v>93</v>
      </c>
      <c r="C53" s="6"/>
      <c r="D53" s="6"/>
      <c r="E53" s="6"/>
      <c r="F53" s="6" t="s">
        <v>157</v>
      </c>
      <c r="G53" s="6" t="s">
        <v>752</v>
      </c>
      <c r="H53" s="6" t="s">
        <v>753</v>
      </c>
      <c r="I53" s="6"/>
      <c r="J53" s="6"/>
      <c r="K53" s="6" t="s">
        <v>754</v>
      </c>
      <c r="L53" s="6" t="s">
        <v>727</v>
      </c>
      <c r="M53" s="6" t="s">
        <v>733</v>
      </c>
      <c r="N53" s="6"/>
    </row>
    <row r="54" customFormat="false" ht="15" hidden="false" customHeight="true" outlineLevel="0" collapsed="false">
      <c r="A54" s="14" t="s">
        <v>721</v>
      </c>
      <c r="B54" s="14" t="s">
        <v>93</v>
      </c>
      <c r="C54" s="14"/>
      <c r="D54" s="14"/>
      <c r="E54" s="14"/>
      <c r="F54" s="14" t="s">
        <v>755</v>
      </c>
      <c r="G54" s="14" t="s">
        <v>756</v>
      </c>
      <c r="H54" s="14" t="s">
        <v>757</v>
      </c>
      <c r="I54" s="14" t="s">
        <v>511</v>
      </c>
      <c r="J54" s="14" t="s">
        <v>758</v>
      </c>
      <c r="K54" s="14" t="s">
        <v>759</v>
      </c>
      <c r="L54" s="14" t="s">
        <v>426</v>
      </c>
      <c r="M54" s="14" t="s">
        <v>760</v>
      </c>
      <c r="N54" s="14"/>
    </row>
    <row r="55" customFormat="false" ht="23.25" hidden="false" customHeight="true" outlineLevel="0" collapsed="false">
      <c r="A55" s="6" t="s">
        <v>721</v>
      </c>
      <c r="B55" s="6" t="s">
        <v>93</v>
      </c>
      <c r="C55" s="6"/>
      <c r="D55" s="6"/>
      <c r="E55" s="6"/>
      <c r="F55" s="6" t="s">
        <v>761</v>
      </c>
      <c r="G55" s="6" t="s">
        <v>762</v>
      </c>
      <c r="H55" s="6" t="s">
        <v>763</v>
      </c>
      <c r="I55" s="6" t="s">
        <v>511</v>
      </c>
      <c r="J55" s="6" t="s">
        <v>764</v>
      </c>
      <c r="K55" s="6" t="s">
        <v>765</v>
      </c>
      <c r="L55" s="6" t="s">
        <v>112</v>
      </c>
      <c r="M55" s="6" t="s">
        <v>766</v>
      </c>
      <c r="N55" s="6"/>
    </row>
    <row r="56" customFormat="false" ht="23.25" hidden="false" customHeight="true" outlineLevel="0" collapsed="false">
      <c r="A56" s="14" t="s">
        <v>721</v>
      </c>
      <c r="B56" s="14" t="s">
        <v>93</v>
      </c>
      <c r="C56" s="14"/>
      <c r="D56" s="14"/>
      <c r="E56" s="14"/>
      <c r="F56" s="14" t="s">
        <v>552</v>
      </c>
      <c r="G56" s="14" t="s">
        <v>553</v>
      </c>
      <c r="H56" s="14" t="s">
        <v>554</v>
      </c>
      <c r="I56" s="14"/>
      <c r="J56" s="14"/>
      <c r="K56" s="14" t="s">
        <v>767</v>
      </c>
      <c r="L56" s="14" t="s">
        <v>727</v>
      </c>
      <c r="M56" s="14" t="s">
        <v>558</v>
      </c>
      <c r="N56" s="14"/>
    </row>
    <row r="57" customFormat="false" ht="15" hidden="false" customHeight="true" outlineLevel="0" collapsed="false">
      <c r="A57" s="6" t="s">
        <v>721</v>
      </c>
      <c r="B57" s="6" t="s">
        <v>93</v>
      </c>
      <c r="C57" s="6"/>
      <c r="D57" s="6"/>
      <c r="E57" s="6"/>
      <c r="F57" s="6" t="s">
        <v>768</v>
      </c>
      <c r="G57" s="6"/>
      <c r="H57" s="6"/>
      <c r="I57" s="6"/>
      <c r="J57" s="6"/>
      <c r="K57" s="6" t="s">
        <v>769</v>
      </c>
      <c r="L57" s="6" t="s">
        <v>727</v>
      </c>
      <c r="M57" s="6" t="s">
        <v>770</v>
      </c>
      <c r="N57" s="6"/>
    </row>
  </sheetData>
  <mergeCells count="2">
    <mergeCell ref="A1:N1"/>
    <mergeCell ref="A2:N2"/>
  </mergeCells>
  <conditionalFormatting sqref="M4:M57">
    <cfRule type="cellIs" priority="2" operator="notEqual" aboveAverage="0" equalAverage="0" bottom="0" percent="0" rank="0" text="" dxfId="1">
      <formula>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T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10"/>
    <col collapsed="false" customWidth="true" hidden="false" outlineLevel="0" max="9" min="9" style="1" width="20"/>
    <col collapsed="false" customWidth="true" hidden="false" outlineLevel="0" max="10" min="10" style="1" width="14"/>
    <col collapsed="false" customWidth="true" hidden="false" outlineLevel="0" max="12" min="11" style="1" width="18"/>
    <col collapsed="false" customWidth="true" hidden="false" outlineLevel="0" max="14" min="13" style="1" width="12"/>
    <col collapsed="false" customWidth="true" hidden="false" outlineLevel="0" max="15" min="15" style="1" width="16"/>
    <col collapsed="false" customWidth="true" hidden="false" outlineLevel="0" max="17" min="16" style="1" width="18"/>
    <col collapsed="false" customWidth="true" hidden="false" outlineLevel="0" max="18" min="18" style="1" width="16"/>
    <col collapsed="false" customWidth="true" hidden="false" outlineLevel="0" max="19" min="19" style="1" width="14"/>
    <col collapsed="false" customWidth="true" hidden="false" outlineLevel="0" max="20" min="20" style="1" width="30"/>
  </cols>
  <sheetData>
    <row r="1" customFormat="false" ht="30" hidden="false" customHeight="true" outlineLevel="0" collapsed="false">
      <c r="A1" s="2" t="s">
        <v>771</v>
      </c>
    </row>
    <row r="2" customFormat="false" ht="15" hidden="false" customHeight="true" outlineLevel="0" collapsed="false">
      <c r="A2" s="3" t="s">
        <v>772</v>
      </c>
    </row>
    <row r="3" customFormat="false" ht="26.25" hidden="false" customHeight="true" outlineLevel="0" collapsed="false">
      <c r="A3" s="4" t="s">
        <v>503</v>
      </c>
      <c r="B3" s="4" t="s">
        <v>69</v>
      </c>
      <c r="C3" s="4" t="s">
        <v>499</v>
      </c>
      <c r="D3" s="4" t="s">
        <v>502</v>
      </c>
      <c r="E3" s="4" t="s">
        <v>773</v>
      </c>
      <c r="F3" s="4" t="s">
        <v>774</v>
      </c>
      <c r="G3" s="4" t="s">
        <v>501</v>
      </c>
      <c r="H3" s="4" t="s">
        <v>775</v>
      </c>
      <c r="I3" s="4" t="s">
        <v>776</v>
      </c>
      <c r="J3" s="4" t="s">
        <v>5</v>
      </c>
      <c r="K3" s="4" t="s">
        <v>85</v>
      </c>
      <c r="L3" s="4" t="s">
        <v>777</v>
      </c>
      <c r="M3" s="4" t="s">
        <v>778</v>
      </c>
      <c r="N3" s="4" t="s">
        <v>779</v>
      </c>
      <c r="O3" s="4" t="s">
        <v>780</v>
      </c>
      <c r="P3" s="4" t="s">
        <v>781</v>
      </c>
      <c r="Q3" s="4" t="s">
        <v>782</v>
      </c>
      <c r="R3" s="4" t="s">
        <v>783</v>
      </c>
      <c r="S3" s="4" t="s">
        <v>784</v>
      </c>
      <c r="T3" s="4" t="s">
        <v>49</v>
      </c>
    </row>
    <row r="4" customFormat="false" ht="15" hidden="false" customHeight="true" outlineLevel="0" collapsed="false">
      <c r="A4" s="9" t="s">
        <v>557</v>
      </c>
      <c r="B4" s="9"/>
      <c r="C4" s="9" t="s">
        <v>551</v>
      </c>
      <c r="D4" s="9" t="s">
        <v>555</v>
      </c>
      <c r="E4" s="9" t="s">
        <v>785</v>
      </c>
      <c r="F4" s="9" t="s">
        <v>786</v>
      </c>
      <c r="G4" s="9" t="s">
        <v>554</v>
      </c>
      <c r="H4" s="9"/>
      <c r="I4" s="9"/>
      <c r="J4" s="9" t="s">
        <v>112</v>
      </c>
      <c r="K4" s="9" t="s">
        <v>556</v>
      </c>
      <c r="L4" s="9"/>
      <c r="M4" s="9"/>
      <c r="N4" s="9" t="n">
        <v>108.66</v>
      </c>
      <c r="O4" s="9"/>
      <c r="P4" s="9" t="s">
        <v>787</v>
      </c>
      <c r="Q4" s="9" t="s">
        <v>552</v>
      </c>
      <c r="R4" s="9" t="s">
        <v>553</v>
      </c>
      <c r="S4" s="9"/>
      <c r="T4" s="9" t="s">
        <v>788</v>
      </c>
    </row>
    <row r="5" customFormat="false" ht="15" hidden="false" customHeight="true" outlineLevel="0" collapsed="false">
      <c r="A5" s="9" t="s">
        <v>520</v>
      </c>
      <c r="B5" s="9"/>
      <c r="C5" s="9" t="s">
        <v>515</v>
      </c>
      <c r="D5" s="9" t="s">
        <v>511</v>
      </c>
      <c r="E5" s="9" t="s">
        <v>116</v>
      </c>
      <c r="F5" s="9" t="s">
        <v>786</v>
      </c>
      <c r="G5" s="9" t="s">
        <v>518</v>
      </c>
      <c r="H5" s="9"/>
      <c r="I5" s="9"/>
      <c r="J5" s="9" t="s">
        <v>112</v>
      </c>
      <c r="K5" s="9" t="s">
        <v>519</v>
      </c>
      <c r="L5" s="9"/>
      <c r="M5" s="9"/>
      <c r="N5" s="9" t="n">
        <v>71.08</v>
      </c>
      <c r="O5" s="9"/>
      <c r="P5" s="9" t="s">
        <v>789</v>
      </c>
      <c r="Q5" s="9" t="s">
        <v>516</v>
      </c>
      <c r="R5" s="9" t="s">
        <v>517</v>
      </c>
      <c r="S5" s="9"/>
      <c r="T5" s="9" t="s">
        <v>790</v>
      </c>
    </row>
    <row r="6" customFormat="false" ht="15" hidden="false" customHeight="true" outlineLevel="0" collapsed="false">
      <c r="A6" s="9" t="s">
        <v>724</v>
      </c>
      <c r="B6" s="9"/>
      <c r="C6" s="9" t="s">
        <v>277</v>
      </c>
      <c r="D6" s="9" t="s">
        <v>722</v>
      </c>
      <c r="E6" s="9" t="s">
        <v>791</v>
      </c>
      <c r="F6" s="9" t="s">
        <v>786</v>
      </c>
      <c r="G6" s="9" t="s">
        <v>554</v>
      </c>
      <c r="H6" s="9"/>
      <c r="I6" s="9"/>
      <c r="J6" s="9" t="s">
        <v>112</v>
      </c>
      <c r="K6" s="9" t="s">
        <v>723</v>
      </c>
      <c r="L6" s="9"/>
      <c r="M6" s="9"/>
      <c r="N6" s="9" t="n">
        <v>38.74</v>
      </c>
      <c r="O6" s="9"/>
      <c r="P6" s="9" t="s">
        <v>253</v>
      </c>
      <c r="Q6" s="9" t="s">
        <v>552</v>
      </c>
      <c r="R6" s="9" t="s">
        <v>553</v>
      </c>
      <c r="S6" s="9"/>
      <c r="T6" s="9" t="s">
        <v>792</v>
      </c>
    </row>
    <row r="7" customFormat="false" ht="15" hidden="false" customHeight="true" outlineLevel="0" collapsed="false">
      <c r="A7" s="9" t="s">
        <v>539</v>
      </c>
      <c r="B7" s="9"/>
      <c r="C7" s="9" t="s">
        <v>534</v>
      </c>
      <c r="D7" s="9" t="s">
        <v>511</v>
      </c>
      <c r="E7" s="9" t="s">
        <v>116</v>
      </c>
      <c r="F7" s="9" t="s">
        <v>786</v>
      </c>
      <c r="G7" s="9" t="s">
        <v>537</v>
      </c>
      <c r="H7" s="9"/>
      <c r="I7" s="9"/>
      <c r="J7" s="9" t="s">
        <v>112</v>
      </c>
      <c r="K7" s="9" t="s">
        <v>538</v>
      </c>
      <c r="L7" s="9"/>
      <c r="M7" s="9"/>
      <c r="N7" s="9" t="n">
        <v>89.12</v>
      </c>
      <c r="O7" s="9"/>
      <c r="P7" s="9" t="s">
        <v>213</v>
      </c>
      <c r="Q7" s="9" t="s">
        <v>535</v>
      </c>
      <c r="R7" s="9" t="s">
        <v>536</v>
      </c>
      <c r="S7" s="9"/>
      <c r="T7" s="9" t="s">
        <v>793</v>
      </c>
    </row>
    <row r="8" customFormat="false" ht="15" hidden="false" customHeight="true" outlineLevel="0" collapsed="false">
      <c r="A8" s="9" t="s">
        <v>706</v>
      </c>
      <c r="B8" s="9"/>
      <c r="C8" s="9" t="s">
        <v>534</v>
      </c>
      <c r="D8" s="9" t="s">
        <v>511</v>
      </c>
      <c r="E8" s="9" t="s">
        <v>116</v>
      </c>
      <c r="F8" s="9" t="s">
        <v>786</v>
      </c>
      <c r="G8" s="9" t="s">
        <v>525</v>
      </c>
      <c r="H8" s="9"/>
      <c r="I8" s="9"/>
      <c r="J8" s="9" t="s">
        <v>112</v>
      </c>
      <c r="K8" s="9" t="s">
        <v>705</v>
      </c>
      <c r="L8" s="9"/>
      <c r="M8" s="9"/>
      <c r="N8" s="9" t="n">
        <v>118.72</v>
      </c>
      <c r="O8" s="9"/>
      <c r="P8" s="9" t="s">
        <v>194</v>
      </c>
      <c r="Q8" s="9" t="s">
        <v>523</v>
      </c>
      <c r="R8" s="9" t="s">
        <v>524</v>
      </c>
      <c r="S8" s="9"/>
      <c r="T8" s="9" t="s">
        <v>794</v>
      </c>
    </row>
    <row r="9" customFormat="false" ht="15" hidden="false" customHeight="true" outlineLevel="0" collapsed="false">
      <c r="A9" s="9" t="s">
        <v>795</v>
      </c>
      <c r="B9" s="9"/>
      <c r="C9" s="9"/>
      <c r="D9" s="9"/>
      <c r="E9" s="9" t="s">
        <v>126</v>
      </c>
      <c r="F9" s="9" t="s">
        <v>786</v>
      </c>
      <c r="G9" s="9"/>
      <c r="H9" s="9"/>
      <c r="I9" s="9"/>
      <c r="J9" s="9" t="s">
        <v>727</v>
      </c>
      <c r="K9" s="9"/>
      <c r="L9" s="9"/>
      <c r="M9" s="9"/>
      <c r="N9" s="9"/>
      <c r="O9" s="9"/>
      <c r="P9" s="9"/>
      <c r="Q9" s="9" t="s">
        <v>796</v>
      </c>
      <c r="R9" s="9"/>
      <c r="S9" s="9"/>
      <c r="T9" s="9"/>
    </row>
    <row r="10" customFormat="false" ht="15" hidden="false" customHeight="true" outlineLevel="0" collapsed="false">
      <c r="A10" s="9" t="s">
        <v>797</v>
      </c>
      <c r="B10" s="9" t="s">
        <v>175</v>
      </c>
      <c r="C10" s="9"/>
      <c r="D10" s="9"/>
      <c r="E10" s="9" t="s">
        <v>126</v>
      </c>
      <c r="F10" s="9" t="s">
        <v>786</v>
      </c>
      <c r="G10" s="9"/>
      <c r="H10" s="9"/>
      <c r="I10" s="9"/>
      <c r="J10" s="9" t="s">
        <v>727</v>
      </c>
      <c r="K10" s="9"/>
      <c r="L10" s="9"/>
      <c r="M10" s="9"/>
      <c r="N10" s="9"/>
      <c r="O10" s="9"/>
      <c r="P10" s="9"/>
      <c r="Q10" s="9" t="s">
        <v>798</v>
      </c>
      <c r="R10" s="9"/>
      <c r="S10" s="9"/>
      <c r="T10" s="9"/>
    </row>
    <row r="11" customFormat="false" ht="15" hidden="false" customHeight="true" outlineLevel="0" collapsed="false">
      <c r="A11" s="9" t="s">
        <v>799</v>
      </c>
      <c r="B11" s="9"/>
      <c r="C11" s="9"/>
      <c r="D11" s="9"/>
      <c r="E11" s="9" t="s">
        <v>126</v>
      </c>
      <c r="F11" s="9" t="s">
        <v>786</v>
      </c>
      <c r="G11" s="9"/>
      <c r="H11" s="9"/>
      <c r="I11" s="9"/>
      <c r="J11" s="9" t="s">
        <v>727</v>
      </c>
      <c r="K11" s="9"/>
      <c r="L11" s="9"/>
      <c r="M11" s="9"/>
      <c r="N11" s="9"/>
      <c r="O11" s="9"/>
      <c r="P11" s="9"/>
      <c r="Q11" s="9" t="s">
        <v>800</v>
      </c>
      <c r="R11" s="9"/>
      <c r="S11" s="9"/>
      <c r="T11" s="9"/>
    </row>
    <row r="12" customFormat="false" ht="15" hidden="false" customHeight="true" outlineLevel="0" collapsed="false">
      <c r="A12" s="9" t="s">
        <v>726</v>
      </c>
      <c r="B12" s="9"/>
      <c r="C12" s="9"/>
      <c r="D12" s="9"/>
      <c r="E12" s="9" t="s">
        <v>126</v>
      </c>
      <c r="F12" s="9" t="s">
        <v>786</v>
      </c>
      <c r="G12" s="9"/>
      <c r="H12" s="9"/>
      <c r="I12" s="9"/>
      <c r="J12" s="9" t="s">
        <v>727</v>
      </c>
      <c r="K12" s="9"/>
      <c r="L12" s="9"/>
      <c r="M12" s="9"/>
      <c r="N12" s="9"/>
      <c r="O12" s="9"/>
      <c r="P12" s="9"/>
      <c r="Q12" s="9" t="s">
        <v>725</v>
      </c>
      <c r="R12" s="9"/>
      <c r="S12" s="9"/>
      <c r="T12" s="9" t="s">
        <v>801</v>
      </c>
    </row>
    <row r="13" customFormat="false" ht="15" hidden="false" customHeight="true" outlineLevel="0" collapsed="false">
      <c r="A13" s="9" t="s">
        <v>729</v>
      </c>
      <c r="B13" s="9" t="s">
        <v>198</v>
      </c>
      <c r="C13" s="9"/>
      <c r="D13" s="9"/>
      <c r="E13" s="9" t="s">
        <v>126</v>
      </c>
      <c r="F13" s="9" t="s">
        <v>786</v>
      </c>
      <c r="G13" s="9"/>
      <c r="H13" s="9"/>
      <c r="I13" s="9"/>
      <c r="J13" s="9" t="s">
        <v>727</v>
      </c>
      <c r="K13" s="9"/>
      <c r="L13" s="9"/>
      <c r="M13" s="9"/>
      <c r="N13" s="9"/>
      <c r="O13" s="9"/>
      <c r="P13" s="9"/>
      <c r="Q13" s="9" t="s">
        <v>128</v>
      </c>
      <c r="R13" s="9"/>
      <c r="S13" s="9"/>
      <c r="T13" s="9" t="s">
        <v>802</v>
      </c>
    </row>
    <row r="14" customFormat="false" ht="15" hidden="false" customHeight="true" outlineLevel="0" collapsed="false">
      <c r="A14" s="9" t="s">
        <v>803</v>
      </c>
      <c r="B14" s="9"/>
      <c r="C14" s="9"/>
      <c r="D14" s="9"/>
      <c r="E14" s="9" t="s">
        <v>126</v>
      </c>
      <c r="F14" s="9" t="s">
        <v>786</v>
      </c>
      <c r="G14" s="9"/>
      <c r="H14" s="9"/>
      <c r="I14" s="9"/>
      <c r="J14" s="9" t="s">
        <v>727</v>
      </c>
      <c r="K14" s="9"/>
      <c r="L14" s="9"/>
      <c r="M14" s="9"/>
      <c r="N14" s="9"/>
      <c r="O14" s="9"/>
      <c r="P14" s="9"/>
      <c r="Q14" s="9" t="s">
        <v>804</v>
      </c>
      <c r="R14" s="9"/>
      <c r="S14" s="9"/>
      <c r="T14" s="9"/>
    </row>
    <row r="15" customFormat="false" ht="15" hidden="false" customHeight="true" outlineLevel="0" collapsed="false">
      <c r="A15" s="9" t="s">
        <v>732</v>
      </c>
      <c r="B15" s="9" t="s">
        <v>208</v>
      </c>
      <c r="C15" s="9"/>
      <c r="D15" s="9"/>
      <c r="E15" s="9" t="s">
        <v>126</v>
      </c>
      <c r="F15" s="9" t="s">
        <v>786</v>
      </c>
      <c r="G15" s="9"/>
      <c r="H15" s="9"/>
      <c r="I15" s="9"/>
      <c r="J15" s="9" t="s">
        <v>727</v>
      </c>
      <c r="K15" s="9"/>
      <c r="L15" s="9"/>
      <c r="M15" s="9"/>
      <c r="N15" s="9"/>
      <c r="O15" s="9"/>
      <c r="P15" s="9"/>
      <c r="Q15" s="9" t="s">
        <v>731</v>
      </c>
      <c r="R15" s="9"/>
      <c r="S15" s="9"/>
      <c r="T15" s="9" t="s">
        <v>805</v>
      </c>
    </row>
    <row r="16" customFormat="false" ht="15" hidden="false" customHeight="true" outlineLevel="0" collapsed="false">
      <c r="A16" s="9" t="s">
        <v>806</v>
      </c>
      <c r="B16" s="9"/>
      <c r="C16" s="9"/>
      <c r="D16" s="9"/>
      <c r="E16" s="9" t="s">
        <v>126</v>
      </c>
      <c r="F16" s="9" t="s">
        <v>786</v>
      </c>
      <c r="G16" s="9"/>
      <c r="H16" s="9"/>
      <c r="I16" s="9"/>
      <c r="J16" s="9" t="s">
        <v>727</v>
      </c>
      <c r="K16" s="9"/>
      <c r="L16" s="9"/>
      <c r="M16" s="9"/>
      <c r="N16" s="9"/>
      <c r="O16" s="9"/>
      <c r="P16" s="9"/>
      <c r="Q16" s="9" t="s">
        <v>807</v>
      </c>
      <c r="R16" s="9"/>
      <c r="S16" s="9"/>
      <c r="T16" s="9"/>
    </row>
    <row r="17" customFormat="false" ht="15" hidden="false" customHeight="true" outlineLevel="0" collapsed="false">
      <c r="A17" s="9" t="s">
        <v>808</v>
      </c>
      <c r="B17" s="9"/>
      <c r="C17" s="9"/>
      <c r="D17" s="9"/>
      <c r="E17" s="9" t="s">
        <v>126</v>
      </c>
      <c r="F17" s="9" t="s">
        <v>786</v>
      </c>
      <c r="G17" s="9"/>
      <c r="H17" s="9"/>
      <c r="I17" s="9"/>
      <c r="J17" s="9" t="s">
        <v>727</v>
      </c>
      <c r="K17" s="9"/>
      <c r="L17" s="9"/>
      <c r="M17" s="9"/>
      <c r="N17" s="9"/>
      <c r="O17" s="9"/>
      <c r="P17" s="9"/>
      <c r="Q17" s="9" t="s">
        <v>809</v>
      </c>
      <c r="R17" s="9"/>
      <c r="S17" s="9"/>
      <c r="T17" s="9"/>
    </row>
    <row r="18" customFormat="false" ht="15" hidden="false" customHeight="true" outlineLevel="0" collapsed="false">
      <c r="A18" s="9" t="s">
        <v>810</v>
      </c>
      <c r="B18" s="9"/>
      <c r="C18" s="9"/>
      <c r="D18" s="9"/>
      <c r="E18" s="9" t="s">
        <v>126</v>
      </c>
      <c r="F18" s="9" t="s">
        <v>786</v>
      </c>
      <c r="G18" s="9"/>
      <c r="H18" s="9"/>
      <c r="I18" s="9"/>
      <c r="J18" s="9" t="s">
        <v>727</v>
      </c>
      <c r="K18" s="9"/>
      <c r="L18" s="9"/>
      <c r="M18" s="9"/>
      <c r="N18" s="9"/>
      <c r="O18" s="9"/>
      <c r="P18" s="9"/>
      <c r="Q18" s="9" t="s">
        <v>811</v>
      </c>
      <c r="R18" s="9"/>
      <c r="S18" s="9"/>
      <c r="T18" s="9"/>
    </row>
    <row r="19" customFormat="false" ht="15" hidden="false" customHeight="true" outlineLevel="0" collapsed="false">
      <c r="A19" s="9" t="s">
        <v>735</v>
      </c>
      <c r="B19" s="9"/>
      <c r="C19" s="9"/>
      <c r="D19" s="9"/>
      <c r="E19" s="9" t="s">
        <v>126</v>
      </c>
      <c r="F19" s="9" t="s">
        <v>786</v>
      </c>
      <c r="G19" s="9"/>
      <c r="H19" s="9"/>
      <c r="I19" s="9"/>
      <c r="J19" s="9" t="s">
        <v>727</v>
      </c>
      <c r="K19" s="9"/>
      <c r="L19" s="9"/>
      <c r="M19" s="9"/>
      <c r="N19" s="9"/>
      <c r="O19" s="9"/>
      <c r="P19" s="9"/>
      <c r="Q19" s="9" t="s">
        <v>734</v>
      </c>
      <c r="R19" s="9"/>
      <c r="S19" s="9"/>
      <c r="T19" s="9" t="s">
        <v>812</v>
      </c>
    </row>
    <row r="20" customFormat="false" ht="15" hidden="false" customHeight="true" outlineLevel="0" collapsed="false">
      <c r="A20" s="9" t="s">
        <v>738</v>
      </c>
      <c r="B20" s="9"/>
      <c r="C20" s="9"/>
      <c r="D20" s="9"/>
      <c r="E20" s="9" t="s">
        <v>126</v>
      </c>
      <c r="F20" s="9" t="s">
        <v>786</v>
      </c>
      <c r="G20" s="9"/>
      <c r="H20" s="9"/>
      <c r="I20" s="9"/>
      <c r="J20" s="9" t="s">
        <v>727</v>
      </c>
      <c r="K20" s="9"/>
      <c r="L20" s="9"/>
      <c r="M20" s="9"/>
      <c r="N20" s="9"/>
      <c r="O20" s="9"/>
      <c r="P20" s="9"/>
      <c r="Q20" s="9" t="s">
        <v>737</v>
      </c>
      <c r="R20" s="9"/>
      <c r="S20" s="9"/>
      <c r="T20" s="9" t="s">
        <v>813</v>
      </c>
    </row>
    <row r="21" customFormat="false" ht="15" hidden="false" customHeight="true" outlineLevel="0" collapsed="false">
      <c r="A21" s="9" t="s">
        <v>741</v>
      </c>
      <c r="B21" s="9"/>
      <c r="C21" s="9"/>
      <c r="D21" s="9"/>
      <c r="E21" s="9" t="s">
        <v>126</v>
      </c>
      <c r="F21" s="9" t="s">
        <v>786</v>
      </c>
      <c r="G21" s="9"/>
      <c r="H21" s="9"/>
      <c r="I21" s="9"/>
      <c r="J21" s="9" t="s">
        <v>727</v>
      </c>
      <c r="K21" s="9"/>
      <c r="L21" s="9"/>
      <c r="M21" s="9"/>
      <c r="N21" s="9"/>
      <c r="O21" s="9"/>
      <c r="P21" s="9"/>
      <c r="Q21" s="9" t="s">
        <v>740</v>
      </c>
      <c r="R21" s="9"/>
      <c r="S21" s="9"/>
      <c r="T21" s="9" t="s">
        <v>814</v>
      </c>
    </row>
    <row r="22" customFormat="false" ht="15" hidden="false" customHeight="true" outlineLevel="0" collapsed="false">
      <c r="A22" s="9" t="s">
        <v>744</v>
      </c>
      <c r="B22" s="9"/>
      <c r="C22" s="9"/>
      <c r="D22" s="9"/>
      <c r="E22" s="9" t="s">
        <v>126</v>
      </c>
      <c r="F22" s="9" t="s">
        <v>786</v>
      </c>
      <c r="G22" s="9"/>
      <c r="H22" s="9"/>
      <c r="I22" s="9"/>
      <c r="J22" s="9" t="s">
        <v>727</v>
      </c>
      <c r="K22" s="9"/>
      <c r="L22" s="9"/>
      <c r="M22" s="9"/>
      <c r="N22" s="9"/>
      <c r="O22" s="9"/>
      <c r="P22" s="9"/>
      <c r="Q22" s="9" t="s">
        <v>743</v>
      </c>
      <c r="R22" s="9"/>
      <c r="S22" s="9"/>
      <c r="T22" s="9" t="s">
        <v>815</v>
      </c>
    </row>
    <row r="23" customFormat="false" ht="15" hidden="false" customHeight="true" outlineLevel="0" collapsed="false">
      <c r="A23" s="9" t="s">
        <v>747</v>
      </c>
      <c r="B23" s="9"/>
      <c r="C23" s="9"/>
      <c r="D23" s="9"/>
      <c r="E23" s="9" t="s">
        <v>126</v>
      </c>
      <c r="F23" s="9" t="s">
        <v>786</v>
      </c>
      <c r="G23" s="9"/>
      <c r="H23" s="9"/>
      <c r="I23" s="9"/>
      <c r="J23" s="9" t="s">
        <v>727</v>
      </c>
      <c r="K23" s="9"/>
      <c r="L23" s="9"/>
      <c r="M23" s="9"/>
      <c r="N23" s="9"/>
      <c r="O23" s="9"/>
      <c r="P23" s="9"/>
      <c r="Q23" s="9" t="s">
        <v>746</v>
      </c>
      <c r="R23" s="9"/>
      <c r="S23" s="9"/>
      <c r="T23" s="9" t="s">
        <v>816</v>
      </c>
    </row>
    <row r="24" customFormat="false" ht="15" hidden="false" customHeight="true" outlineLevel="0" collapsed="false">
      <c r="A24" s="9" t="s">
        <v>817</v>
      </c>
      <c r="B24" s="9"/>
      <c r="C24" s="9"/>
      <c r="D24" s="9"/>
      <c r="E24" s="9" t="s">
        <v>126</v>
      </c>
      <c r="F24" s="9" t="s">
        <v>786</v>
      </c>
      <c r="G24" s="9"/>
      <c r="H24" s="9"/>
      <c r="I24" s="9"/>
      <c r="J24" s="9" t="s">
        <v>727</v>
      </c>
      <c r="K24" s="9"/>
      <c r="L24" s="9"/>
      <c r="M24" s="9"/>
      <c r="N24" s="9"/>
      <c r="O24" s="9"/>
      <c r="P24" s="9"/>
      <c r="Q24" s="9" t="s">
        <v>818</v>
      </c>
      <c r="R24" s="9"/>
      <c r="S24" s="9"/>
      <c r="T24" s="9"/>
    </row>
    <row r="25" customFormat="false" ht="15" hidden="false" customHeight="true" outlineLevel="0" collapsed="false">
      <c r="A25" s="9" t="s">
        <v>563</v>
      </c>
      <c r="B25" s="9" t="s">
        <v>276</v>
      </c>
      <c r="C25" s="9" t="s">
        <v>166</v>
      </c>
      <c r="D25" s="9" t="s">
        <v>511</v>
      </c>
      <c r="E25" s="9" t="s">
        <v>116</v>
      </c>
      <c r="F25" s="9" t="s">
        <v>786</v>
      </c>
      <c r="G25" s="9" t="s">
        <v>562</v>
      </c>
      <c r="H25" s="9"/>
      <c r="I25" s="9"/>
      <c r="J25" s="9" t="s">
        <v>112</v>
      </c>
      <c r="K25" s="9" t="s">
        <v>280</v>
      </c>
      <c r="L25" s="9"/>
      <c r="M25" s="9"/>
      <c r="N25" s="9" t="n">
        <v>125.76</v>
      </c>
      <c r="O25" s="9"/>
      <c r="P25" s="9" t="s">
        <v>577</v>
      </c>
      <c r="Q25" s="9" t="s">
        <v>278</v>
      </c>
      <c r="R25" s="9" t="s">
        <v>561</v>
      </c>
      <c r="S25" s="9"/>
      <c r="T25" s="9" t="s">
        <v>819</v>
      </c>
    </row>
    <row r="26" customFormat="false" ht="15" hidden="false" customHeight="true" outlineLevel="0" collapsed="false">
      <c r="A26" s="9" t="s">
        <v>532</v>
      </c>
      <c r="B26" s="9" t="s">
        <v>262</v>
      </c>
      <c r="C26" s="9" t="s">
        <v>166</v>
      </c>
      <c r="D26" s="9" t="s">
        <v>511</v>
      </c>
      <c r="E26" s="9" t="s">
        <v>116</v>
      </c>
      <c r="F26" s="9" t="s">
        <v>786</v>
      </c>
      <c r="G26" s="9" t="s">
        <v>531</v>
      </c>
      <c r="H26" s="9"/>
      <c r="I26" s="9"/>
      <c r="J26" s="9" t="s">
        <v>112</v>
      </c>
      <c r="K26" s="9" t="s">
        <v>167</v>
      </c>
      <c r="L26" s="9"/>
      <c r="M26" s="9"/>
      <c r="N26" s="9" t="n">
        <v>67.9</v>
      </c>
      <c r="O26" s="9"/>
      <c r="P26" s="9" t="s">
        <v>176</v>
      </c>
      <c r="Q26" s="9" t="s">
        <v>264</v>
      </c>
      <c r="R26" s="9" t="s">
        <v>530</v>
      </c>
      <c r="S26" s="9"/>
      <c r="T26" s="9" t="s">
        <v>820</v>
      </c>
    </row>
    <row r="27" customFormat="false" ht="15" hidden="false" customHeight="true" outlineLevel="0" collapsed="false">
      <c r="A27" s="9" t="s">
        <v>548</v>
      </c>
      <c r="B27" s="9" t="s">
        <v>238</v>
      </c>
      <c r="C27" s="9" t="s">
        <v>213</v>
      </c>
      <c r="D27" s="9" t="s">
        <v>511</v>
      </c>
      <c r="E27" s="9" t="s">
        <v>116</v>
      </c>
      <c r="F27" s="9" t="s">
        <v>786</v>
      </c>
      <c r="G27" s="9" t="s">
        <v>547</v>
      </c>
      <c r="H27" s="9"/>
      <c r="I27" s="9"/>
      <c r="J27" s="9" t="s">
        <v>112</v>
      </c>
      <c r="K27" s="9" t="s">
        <v>242</v>
      </c>
      <c r="L27" s="9"/>
      <c r="M27" s="9"/>
      <c r="N27" s="9" t="n">
        <v>66.05</v>
      </c>
      <c r="O27" s="9"/>
      <c r="P27" s="9" t="s">
        <v>200</v>
      </c>
      <c r="Q27" s="9" t="s">
        <v>240</v>
      </c>
      <c r="R27" s="9" t="s">
        <v>546</v>
      </c>
      <c r="S27" s="9"/>
      <c r="T27" s="9" t="s">
        <v>821</v>
      </c>
    </row>
    <row r="28" customFormat="false" ht="15" hidden="false" customHeight="true" outlineLevel="0" collapsed="false">
      <c r="A28" s="9" t="s">
        <v>527</v>
      </c>
      <c r="B28" s="9"/>
      <c r="C28" s="9" t="s">
        <v>156</v>
      </c>
      <c r="D28" s="9" t="s">
        <v>511</v>
      </c>
      <c r="E28" s="9" t="s">
        <v>116</v>
      </c>
      <c r="F28" s="9" t="s">
        <v>786</v>
      </c>
      <c r="G28" s="9" t="s">
        <v>525</v>
      </c>
      <c r="H28" s="9"/>
      <c r="I28" s="9"/>
      <c r="J28" s="9" t="s">
        <v>112</v>
      </c>
      <c r="K28" s="9" t="s">
        <v>526</v>
      </c>
      <c r="L28" s="9"/>
      <c r="M28" s="9"/>
      <c r="N28" s="9" t="n">
        <v>132.95</v>
      </c>
      <c r="O28" s="9"/>
      <c r="P28" s="9" t="s">
        <v>822</v>
      </c>
      <c r="Q28" s="9" t="s">
        <v>523</v>
      </c>
      <c r="R28" s="9" t="s">
        <v>524</v>
      </c>
      <c r="S28" s="9"/>
      <c r="T28" s="9" t="s">
        <v>823</v>
      </c>
    </row>
    <row r="29" customFormat="false" ht="15" hidden="false" customHeight="true" outlineLevel="0" collapsed="false">
      <c r="A29" s="9" t="s">
        <v>824</v>
      </c>
      <c r="B29" s="9" t="s">
        <v>249</v>
      </c>
      <c r="C29" s="9"/>
      <c r="D29" s="9"/>
      <c r="E29" s="9" t="s">
        <v>126</v>
      </c>
      <c r="F29" s="9" t="s">
        <v>786</v>
      </c>
      <c r="G29" s="9" t="s">
        <v>825</v>
      </c>
      <c r="H29" s="9"/>
      <c r="I29" s="9"/>
      <c r="J29" s="9" t="s">
        <v>727</v>
      </c>
      <c r="K29" s="9"/>
      <c r="L29" s="9"/>
      <c r="M29" s="9"/>
      <c r="N29" s="9"/>
      <c r="O29" s="9"/>
      <c r="P29" s="9"/>
      <c r="Q29" s="9" t="s">
        <v>826</v>
      </c>
      <c r="R29" s="9" t="s">
        <v>827</v>
      </c>
      <c r="S29" s="9"/>
      <c r="T29" s="9" t="s">
        <v>828</v>
      </c>
    </row>
    <row r="30" customFormat="false" ht="15" hidden="false" customHeight="true" outlineLevel="0" collapsed="false">
      <c r="A30" s="9" t="s">
        <v>751</v>
      </c>
      <c r="B30" s="9" t="s">
        <v>226</v>
      </c>
      <c r="C30" s="9"/>
      <c r="D30" s="9"/>
      <c r="E30" s="9" t="s">
        <v>126</v>
      </c>
      <c r="F30" s="9" t="s">
        <v>786</v>
      </c>
      <c r="G30" s="9" t="s">
        <v>750</v>
      </c>
      <c r="H30" s="9"/>
      <c r="I30" s="9"/>
      <c r="J30" s="9" t="s">
        <v>727</v>
      </c>
      <c r="K30" s="9"/>
      <c r="L30" s="9"/>
      <c r="M30" s="9"/>
      <c r="N30" s="9"/>
      <c r="O30" s="9"/>
      <c r="P30" s="9"/>
      <c r="Q30" s="9" t="s">
        <v>228</v>
      </c>
      <c r="R30" s="9" t="s">
        <v>749</v>
      </c>
      <c r="S30" s="9"/>
      <c r="T30" s="9" t="s">
        <v>829</v>
      </c>
    </row>
    <row r="31" customFormat="false" ht="15" hidden="false" customHeight="true" outlineLevel="0" collapsed="false">
      <c r="A31" s="9" t="s">
        <v>544</v>
      </c>
      <c r="B31" s="9" t="s">
        <v>222</v>
      </c>
      <c r="C31" s="9" t="s">
        <v>541</v>
      </c>
      <c r="D31" s="9" t="s">
        <v>511</v>
      </c>
      <c r="E31" s="9" t="s">
        <v>116</v>
      </c>
      <c r="F31" s="9" t="s">
        <v>786</v>
      </c>
      <c r="G31" s="9" t="s">
        <v>543</v>
      </c>
      <c r="H31" s="9"/>
      <c r="I31" s="9"/>
      <c r="J31" s="9" t="s">
        <v>112</v>
      </c>
      <c r="K31" s="9" t="s">
        <v>225</v>
      </c>
      <c r="L31" s="9"/>
      <c r="M31" s="9"/>
      <c r="N31" s="9" t="n">
        <v>131.17</v>
      </c>
      <c r="O31" s="9"/>
      <c r="P31" s="9" t="s">
        <v>822</v>
      </c>
      <c r="Q31" s="9" t="s">
        <v>223</v>
      </c>
      <c r="R31" s="9" t="s">
        <v>542</v>
      </c>
      <c r="S31" s="9"/>
      <c r="T31" s="9" t="s">
        <v>830</v>
      </c>
    </row>
    <row r="32" customFormat="false" ht="15" hidden="false" customHeight="true" outlineLevel="0" collapsed="false">
      <c r="A32" s="9" t="s">
        <v>754</v>
      </c>
      <c r="B32" s="9" t="s">
        <v>155</v>
      </c>
      <c r="C32" s="9"/>
      <c r="D32" s="9"/>
      <c r="E32" s="9" t="s">
        <v>126</v>
      </c>
      <c r="F32" s="9" t="s">
        <v>786</v>
      </c>
      <c r="G32" s="9" t="s">
        <v>753</v>
      </c>
      <c r="H32" s="9"/>
      <c r="I32" s="9"/>
      <c r="J32" s="9" t="s">
        <v>727</v>
      </c>
      <c r="K32" s="9"/>
      <c r="L32" s="9"/>
      <c r="M32" s="9"/>
      <c r="N32" s="9"/>
      <c r="O32" s="9"/>
      <c r="P32" s="9"/>
      <c r="Q32" s="9" t="s">
        <v>157</v>
      </c>
      <c r="R32" s="9" t="s">
        <v>752</v>
      </c>
      <c r="S32" s="9"/>
      <c r="T32" s="9" t="s">
        <v>831</v>
      </c>
    </row>
    <row r="33" customFormat="false" ht="15" hidden="false" customHeight="true" outlineLevel="0" collapsed="false">
      <c r="A33" s="9" t="s">
        <v>832</v>
      </c>
      <c r="B33" s="9" t="s">
        <v>152</v>
      </c>
      <c r="C33" s="9"/>
      <c r="D33" s="9"/>
      <c r="E33" s="9" t="s">
        <v>126</v>
      </c>
      <c r="F33" s="9" t="s">
        <v>786</v>
      </c>
      <c r="G33" s="9" t="s">
        <v>833</v>
      </c>
      <c r="H33" s="9"/>
      <c r="I33" s="9"/>
      <c r="J33" s="9" t="s">
        <v>727</v>
      </c>
      <c r="K33" s="9"/>
      <c r="L33" s="9"/>
      <c r="M33" s="9"/>
      <c r="N33" s="9"/>
      <c r="O33" s="9"/>
      <c r="P33" s="9"/>
      <c r="Q33" s="9" t="s">
        <v>154</v>
      </c>
      <c r="R33" s="9"/>
      <c r="S33" s="9"/>
      <c r="T33" s="9" t="s">
        <v>834</v>
      </c>
    </row>
    <row r="34" customFormat="false" ht="15" hidden="false" customHeight="true" outlineLevel="0" collapsed="false">
      <c r="A34" s="9" t="s">
        <v>759</v>
      </c>
      <c r="B34" s="9"/>
      <c r="C34" s="9" t="s">
        <v>131</v>
      </c>
      <c r="D34" s="9" t="s">
        <v>511</v>
      </c>
      <c r="E34" s="9" t="s">
        <v>116</v>
      </c>
      <c r="F34" s="9" t="s">
        <v>786</v>
      </c>
      <c r="G34" s="9" t="s">
        <v>757</v>
      </c>
      <c r="H34" s="9"/>
      <c r="I34" s="9"/>
      <c r="J34" s="9" t="s">
        <v>426</v>
      </c>
      <c r="K34" s="9" t="s">
        <v>758</v>
      </c>
      <c r="L34" s="9"/>
      <c r="M34" s="9"/>
      <c r="N34" s="9" t="n">
        <v>40.67</v>
      </c>
      <c r="O34" s="9"/>
      <c r="P34" s="9"/>
      <c r="Q34" s="9" t="s">
        <v>755</v>
      </c>
      <c r="R34" s="9" t="s">
        <v>756</v>
      </c>
      <c r="S34" s="9"/>
      <c r="T34" s="9" t="s">
        <v>835</v>
      </c>
    </row>
    <row r="35" customFormat="false" ht="15" hidden="false" customHeight="true" outlineLevel="0" collapsed="false">
      <c r="A35" s="9" t="s">
        <v>765</v>
      </c>
      <c r="B35" s="9"/>
      <c r="C35" s="9" t="s">
        <v>836</v>
      </c>
      <c r="D35" s="9" t="s">
        <v>511</v>
      </c>
      <c r="E35" s="9" t="s">
        <v>116</v>
      </c>
      <c r="F35" s="9" t="s">
        <v>786</v>
      </c>
      <c r="G35" s="9" t="s">
        <v>763</v>
      </c>
      <c r="H35" s="9"/>
      <c r="I35" s="9"/>
      <c r="J35" s="9" t="s">
        <v>112</v>
      </c>
      <c r="K35" s="9" t="s">
        <v>764</v>
      </c>
      <c r="L35" s="9"/>
      <c r="M35" s="9"/>
      <c r="N35" s="9" t="n">
        <v>39.32</v>
      </c>
      <c r="O35" s="9"/>
      <c r="P35" s="9" t="s">
        <v>822</v>
      </c>
      <c r="Q35" s="9" t="s">
        <v>761</v>
      </c>
      <c r="R35" s="9" t="s">
        <v>762</v>
      </c>
      <c r="S35" s="9"/>
      <c r="T35" s="9" t="s">
        <v>837</v>
      </c>
    </row>
    <row r="36" customFormat="false" ht="15" hidden="false" customHeight="true" outlineLevel="0" collapsed="false">
      <c r="A36" s="9" t="s">
        <v>767</v>
      </c>
      <c r="B36" s="9"/>
      <c r="C36" s="9"/>
      <c r="D36" s="9"/>
      <c r="E36" s="9" t="s">
        <v>126</v>
      </c>
      <c r="F36" s="9" t="s">
        <v>786</v>
      </c>
      <c r="G36" s="9" t="s">
        <v>554</v>
      </c>
      <c r="H36" s="9"/>
      <c r="I36" s="9"/>
      <c r="J36" s="9" t="s">
        <v>727</v>
      </c>
      <c r="K36" s="9"/>
      <c r="L36" s="9"/>
      <c r="M36" s="9"/>
      <c r="N36" s="9"/>
      <c r="O36" s="9"/>
      <c r="P36" s="9"/>
      <c r="Q36" s="9" t="s">
        <v>552</v>
      </c>
      <c r="R36" s="9" t="s">
        <v>553</v>
      </c>
      <c r="S36" s="9"/>
      <c r="T36" s="9" t="s">
        <v>792</v>
      </c>
    </row>
    <row r="37" customFormat="false" ht="15" hidden="false" customHeight="true" outlineLevel="0" collapsed="false">
      <c r="A37" s="9" t="s">
        <v>838</v>
      </c>
      <c r="B37" s="9" t="s">
        <v>145</v>
      </c>
      <c r="C37" s="9"/>
      <c r="D37" s="9"/>
      <c r="E37" s="9" t="s">
        <v>126</v>
      </c>
      <c r="F37" s="9" t="s">
        <v>786</v>
      </c>
      <c r="G37" s="9" t="s">
        <v>839</v>
      </c>
      <c r="H37" s="9"/>
      <c r="I37" s="9"/>
      <c r="J37" s="9" t="s">
        <v>727</v>
      </c>
      <c r="K37" s="9"/>
      <c r="L37" s="9"/>
      <c r="M37" s="9"/>
      <c r="N37" s="9"/>
      <c r="O37" s="9"/>
      <c r="P37" s="9"/>
      <c r="Q37" s="9" t="s">
        <v>146</v>
      </c>
      <c r="R37" s="9" t="s">
        <v>840</v>
      </c>
      <c r="S37" s="9"/>
      <c r="T37" s="9" t="s">
        <v>828</v>
      </c>
    </row>
    <row r="38" customFormat="false" ht="15" hidden="false" customHeight="true" outlineLevel="0" collapsed="false">
      <c r="A38" s="9" t="s">
        <v>841</v>
      </c>
      <c r="B38" s="9" t="s">
        <v>138</v>
      </c>
      <c r="C38" s="9"/>
      <c r="D38" s="9"/>
      <c r="E38" s="9" t="s">
        <v>126</v>
      </c>
      <c r="F38" s="9" t="s">
        <v>786</v>
      </c>
      <c r="G38" s="9" t="s">
        <v>842</v>
      </c>
      <c r="H38" s="9"/>
      <c r="I38" s="9"/>
      <c r="J38" s="9" t="s">
        <v>727</v>
      </c>
      <c r="K38" s="9"/>
      <c r="L38" s="9"/>
      <c r="M38" s="9"/>
      <c r="N38" s="9"/>
      <c r="O38" s="9"/>
      <c r="P38" s="9"/>
      <c r="Q38" s="9" t="s">
        <v>140</v>
      </c>
      <c r="R38" s="9" t="s">
        <v>843</v>
      </c>
      <c r="S38" s="9"/>
      <c r="T38" s="9" t="s">
        <v>828</v>
      </c>
    </row>
    <row r="39" customFormat="false" ht="15" hidden="false" customHeight="true" outlineLevel="0" collapsed="false">
      <c r="A39" s="9" t="s">
        <v>844</v>
      </c>
      <c r="B39" s="9" t="s">
        <v>122</v>
      </c>
      <c r="C39" s="9"/>
      <c r="D39" s="9"/>
      <c r="E39" s="9" t="s">
        <v>126</v>
      </c>
      <c r="F39" s="9" t="s">
        <v>786</v>
      </c>
      <c r="G39" s="9" t="s">
        <v>845</v>
      </c>
      <c r="H39" s="9"/>
      <c r="I39" s="9"/>
      <c r="J39" s="9" t="s">
        <v>727</v>
      </c>
      <c r="K39" s="9"/>
      <c r="L39" s="9"/>
      <c r="M39" s="9"/>
      <c r="N39" s="9"/>
      <c r="O39" s="9"/>
      <c r="P39" s="9"/>
      <c r="Q39" s="9" t="s">
        <v>124</v>
      </c>
      <c r="R39" s="9" t="s">
        <v>846</v>
      </c>
      <c r="S39" s="9"/>
      <c r="T39" s="9"/>
    </row>
    <row r="40" customFormat="false" ht="15" hidden="false" customHeight="true" outlineLevel="0" collapsed="false">
      <c r="A40" s="9" t="s">
        <v>769</v>
      </c>
      <c r="B40" s="9"/>
      <c r="C40" s="9"/>
      <c r="D40" s="9"/>
      <c r="E40" s="9" t="s">
        <v>126</v>
      </c>
      <c r="F40" s="9" t="s">
        <v>786</v>
      </c>
      <c r="G40" s="9"/>
      <c r="H40" s="9"/>
      <c r="I40" s="9"/>
      <c r="J40" s="9" t="s">
        <v>727</v>
      </c>
      <c r="K40" s="9"/>
      <c r="L40" s="9"/>
      <c r="M40" s="9"/>
      <c r="N40" s="9"/>
      <c r="O40" s="9"/>
      <c r="P40" s="9"/>
      <c r="Q40" s="9" t="s">
        <v>768</v>
      </c>
      <c r="R40" s="9"/>
      <c r="S40" s="9"/>
      <c r="T40" s="9" t="s">
        <v>847</v>
      </c>
    </row>
    <row r="41" customFormat="false" ht="15" hidden="false" customHeight="true" outlineLevel="0" collapsed="false">
      <c r="A41" s="9" t="s">
        <v>513</v>
      </c>
      <c r="B41" s="9"/>
      <c r="C41" s="9" t="s">
        <v>90</v>
      </c>
      <c r="D41" s="9" t="s">
        <v>511</v>
      </c>
      <c r="E41" s="9" t="s">
        <v>116</v>
      </c>
      <c r="F41" s="9" t="s">
        <v>786</v>
      </c>
      <c r="G41" s="9" t="s">
        <v>510</v>
      </c>
      <c r="H41" s="9"/>
      <c r="I41" s="9"/>
      <c r="J41" s="9" t="s">
        <v>426</v>
      </c>
      <c r="K41" s="9" t="s">
        <v>512</v>
      </c>
      <c r="L41" s="9"/>
      <c r="M41" s="9"/>
      <c r="N41" s="9" t="n">
        <v>52.07</v>
      </c>
      <c r="O41" s="9"/>
      <c r="P41" s="9"/>
      <c r="Q41" s="9" t="s">
        <v>508</v>
      </c>
      <c r="R41" s="9" t="s">
        <v>509</v>
      </c>
      <c r="S41" s="9"/>
      <c r="T41" s="9" t="s">
        <v>848</v>
      </c>
    </row>
    <row r="42" customFormat="false" ht="15" hidden="false" customHeight="true" outlineLevel="0" collapsed="false">
      <c r="A42" s="9" t="s">
        <v>716</v>
      </c>
      <c r="B42" s="9"/>
      <c r="C42" s="9" t="s">
        <v>213</v>
      </c>
      <c r="D42" s="9" t="s">
        <v>555</v>
      </c>
      <c r="E42" s="9" t="s">
        <v>849</v>
      </c>
      <c r="F42" s="9" t="s">
        <v>786</v>
      </c>
      <c r="G42" s="9" t="s">
        <v>714</v>
      </c>
      <c r="H42" s="9"/>
      <c r="I42" s="9"/>
      <c r="J42" s="9" t="s">
        <v>112</v>
      </c>
      <c r="K42" s="9" t="s">
        <v>715</v>
      </c>
      <c r="L42" s="9"/>
      <c r="M42" s="9"/>
      <c r="N42" s="9" t="n">
        <v>160.8</v>
      </c>
      <c r="O42" s="9"/>
      <c r="P42" s="9" t="s">
        <v>565</v>
      </c>
      <c r="Q42" s="9" t="s">
        <v>712</v>
      </c>
      <c r="R42" s="9" t="s">
        <v>713</v>
      </c>
      <c r="S42" s="9"/>
      <c r="T42" s="9" t="s">
        <v>850</v>
      </c>
    </row>
    <row r="43" customFormat="false" ht="15" hidden="false" customHeight="true" outlineLevel="0" collapsed="false">
      <c r="A43" s="9" t="s">
        <v>654</v>
      </c>
      <c r="B43" s="9"/>
      <c r="C43" s="9" t="s">
        <v>213</v>
      </c>
      <c r="D43" s="9" t="s">
        <v>555</v>
      </c>
      <c r="E43" s="9" t="s">
        <v>849</v>
      </c>
      <c r="F43" s="9" t="s">
        <v>786</v>
      </c>
      <c r="G43" s="9" t="s">
        <v>652</v>
      </c>
      <c r="H43" s="9"/>
      <c r="I43" s="9"/>
      <c r="J43" s="9" t="s">
        <v>112</v>
      </c>
      <c r="K43" s="9" t="s">
        <v>653</v>
      </c>
      <c r="L43" s="9"/>
      <c r="M43" s="9"/>
      <c r="N43" s="9" t="n">
        <v>140.75</v>
      </c>
      <c r="O43" s="9"/>
      <c r="P43" s="9" t="s">
        <v>565</v>
      </c>
      <c r="Q43" s="9" t="s">
        <v>650</v>
      </c>
      <c r="R43" s="9" t="s">
        <v>651</v>
      </c>
      <c r="S43" s="9"/>
      <c r="T43" s="9" t="s">
        <v>851</v>
      </c>
    </row>
    <row r="44" customFormat="false" ht="15" hidden="false" customHeight="true" outlineLevel="0" collapsed="false">
      <c r="A44" s="9" t="s">
        <v>681</v>
      </c>
      <c r="B44" s="9"/>
      <c r="C44" s="9" t="s">
        <v>213</v>
      </c>
      <c r="D44" s="9" t="s">
        <v>555</v>
      </c>
      <c r="E44" s="9" t="s">
        <v>849</v>
      </c>
      <c r="F44" s="9" t="s">
        <v>786</v>
      </c>
      <c r="G44" s="9" t="s">
        <v>679</v>
      </c>
      <c r="H44" s="9"/>
      <c r="I44" s="9"/>
      <c r="J44" s="9" t="s">
        <v>112</v>
      </c>
      <c r="K44" s="9" t="s">
        <v>680</v>
      </c>
      <c r="L44" s="9"/>
      <c r="M44" s="9"/>
      <c r="N44" s="9" t="n">
        <v>166</v>
      </c>
      <c r="O44" s="9"/>
      <c r="P44" s="9" t="s">
        <v>565</v>
      </c>
      <c r="Q44" s="9" t="s">
        <v>677</v>
      </c>
      <c r="R44" s="9" t="s">
        <v>678</v>
      </c>
      <c r="S44" s="9"/>
      <c r="T44" s="9" t="s">
        <v>852</v>
      </c>
    </row>
    <row r="45" customFormat="false" ht="15" hidden="false" customHeight="true" outlineLevel="0" collapsed="false">
      <c r="A45" s="9" t="s">
        <v>696</v>
      </c>
      <c r="B45" s="9"/>
      <c r="C45" s="9" t="s">
        <v>213</v>
      </c>
      <c r="D45" s="9" t="s">
        <v>555</v>
      </c>
      <c r="E45" s="9" t="s">
        <v>849</v>
      </c>
      <c r="F45" s="9" t="s">
        <v>786</v>
      </c>
      <c r="G45" s="9" t="s">
        <v>694</v>
      </c>
      <c r="H45" s="9"/>
      <c r="I45" s="9"/>
      <c r="J45" s="9" t="s">
        <v>112</v>
      </c>
      <c r="K45" s="9" t="s">
        <v>695</v>
      </c>
      <c r="L45" s="9"/>
      <c r="M45" s="9"/>
      <c r="N45" s="9" t="n">
        <v>144.45</v>
      </c>
      <c r="O45" s="9"/>
      <c r="P45" s="9" t="s">
        <v>565</v>
      </c>
      <c r="Q45" s="9" t="s">
        <v>692</v>
      </c>
      <c r="R45" s="9" t="s">
        <v>693</v>
      </c>
      <c r="S45" s="9"/>
      <c r="T45" s="9" t="s">
        <v>853</v>
      </c>
    </row>
    <row r="46" customFormat="false" ht="15" hidden="false" customHeight="true" outlineLevel="0" collapsed="false">
      <c r="A46" s="9" t="s">
        <v>570</v>
      </c>
      <c r="B46" s="9"/>
      <c r="C46" s="9" t="s">
        <v>565</v>
      </c>
      <c r="D46" s="9" t="s">
        <v>555</v>
      </c>
      <c r="E46" s="9" t="s">
        <v>849</v>
      </c>
      <c r="F46" s="9" t="s">
        <v>786</v>
      </c>
      <c r="G46" s="9" t="s">
        <v>568</v>
      </c>
      <c r="H46" s="9"/>
      <c r="I46" s="9"/>
      <c r="J46" s="9" t="s">
        <v>112</v>
      </c>
      <c r="K46" s="9" t="s">
        <v>569</v>
      </c>
      <c r="L46" s="9"/>
      <c r="M46" s="9"/>
      <c r="N46" s="9" t="n">
        <v>144.74</v>
      </c>
      <c r="O46" s="9"/>
      <c r="P46" s="9" t="s">
        <v>180</v>
      </c>
      <c r="Q46" s="9" t="s">
        <v>566</v>
      </c>
      <c r="R46" s="9" t="s">
        <v>567</v>
      </c>
      <c r="S46" s="9"/>
      <c r="T46" s="9" t="s">
        <v>854</v>
      </c>
    </row>
    <row r="47" customFormat="false" ht="15" hidden="false" customHeight="true" outlineLevel="0" collapsed="false">
      <c r="A47" s="9" t="s">
        <v>648</v>
      </c>
      <c r="B47" s="9"/>
      <c r="C47" s="9" t="s">
        <v>166</v>
      </c>
      <c r="D47" s="9" t="s">
        <v>555</v>
      </c>
      <c r="E47" s="9" t="s">
        <v>849</v>
      </c>
      <c r="F47" s="9" t="s">
        <v>786</v>
      </c>
      <c r="G47" s="9" t="s">
        <v>646</v>
      </c>
      <c r="H47" s="9"/>
      <c r="I47" s="9"/>
      <c r="J47" s="9" t="s">
        <v>426</v>
      </c>
      <c r="K47" s="9" t="s">
        <v>647</v>
      </c>
      <c r="L47" s="9"/>
      <c r="M47" s="9"/>
      <c r="N47" s="9" t="n">
        <v>137.81</v>
      </c>
      <c r="O47" s="9"/>
      <c r="P47" s="9"/>
      <c r="Q47" s="9" t="s">
        <v>644</v>
      </c>
      <c r="R47" s="9" t="s">
        <v>645</v>
      </c>
      <c r="S47" s="9"/>
      <c r="T47" s="9" t="s">
        <v>855</v>
      </c>
    </row>
    <row r="48" customFormat="false" ht="15" hidden="false" customHeight="true" outlineLevel="0" collapsed="false">
      <c r="A48" s="9" t="s">
        <v>598</v>
      </c>
      <c r="B48" s="9"/>
      <c r="C48" s="9" t="s">
        <v>166</v>
      </c>
      <c r="D48" s="9" t="s">
        <v>555</v>
      </c>
      <c r="E48" s="9" t="s">
        <v>849</v>
      </c>
      <c r="F48" s="9" t="s">
        <v>786</v>
      </c>
      <c r="G48" s="9" t="s">
        <v>596</v>
      </c>
      <c r="H48" s="9"/>
      <c r="I48" s="9"/>
      <c r="J48" s="9" t="s">
        <v>112</v>
      </c>
      <c r="K48" s="9" t="s">
        <v>597</v>
      </c>
      <c r="L48" s="9"/>
      <c r="M48" s="9"/>
      <c r="N48" s="9" t="n">
        <v>210.51</v>
      </c>
      <c r="O48" s="9"/>
      <c r="P48" s="9" t="s">
        <v>180</v>
      </c>
      <c r="Q48" s="9" t="s">
        <v>594</v>
      </c>
      <c r="R48" s="9" t="s">
        <v>595</v>
      </c>
      <c r="S48" s="9"/>
      <c r="T48" s="9" t="s">
        <v>856</v>
      </c>
    </row>
    <row r="49" customFormat="false" ht="15" hidden="false" customHeight="true" outlineLevel="0" collapsed="false">
      <c r="A49" s="9" t="s">
        <v>587</v>
      </c>
      <c r="B49" s="9"/>
      <c r="C49" s="9" t="s">
        <v>166</v>
      </c>
      <c r="D49" s="9" t="s">
        <v>555</v>
      </c>
      <c r="E49" s="9" t="s">
        <v>849</v>
      </c>
      <c r="F49" s="9" t="s">
        <v>786</v>
      </c>
      <c r="G49" s="9" t="s">
        <v>585</v>
      </c>
      <c r="H49" s="9"/>
      <c r="I49" s="9"/>
      <c r="J49" s="9" t="s">
        <v>112</v>
      </c>
      <c r="K49" s="9" t="s">
        <v>586</v>
      </c>
      <c r="L49" s="9"/>
      <c r="M49" s="9"/>
      <c r="N49" s="9" t="n">
        <v>128.23</v>
      </c>
      <c r="O49" s="9"/>
      <c r="P49" s="9" t="s">
        <v>180</v>
      </c>
      <c r="Q49" s="9" t="s">
        <v>583</v>
      </c>
      <c r="R49" s="9" t="s">
        <v>584</v>
      </c>
      <c r="S49" s="9"/>
      <c r="T49" s="9" t="s">
        <v>857</v>
      </c>
    </row>
    <row r="50" customFormat="false" ht="15" hidden="false" customHeight="true" outlineLevel="0" collapsed="false">
      <c r="A50" s="9" t="s">
        <v>580</v>
      </c>
      <c r="B50" s="9" t="s">
        <v>267</v>
      </c>
      <c r="C50" s="9" t="s">
        <v>577</v>
      </c>
      <c r="D50" s="9" t="s">
        <v>555</v>
      </c>
      <c r="E50" s="9" t="s">
        <v>849</v>
      </c>
      <c r="F50" s="9" t="s">
        <v>786</v>
      </c>
      <c r="G50" s="9" t="s">
        <v>579</v>
      </c>
      <c r="H50" s="9"/>
      <c r="I50" s="9"/>
      <c r="J50" s="9" t="s">
        <v>112</v>
      </c>
      <c r="K50" s="9" t="s">
        <v>270</v>
      </c>
      <c r="L50" s="9"/>
      <c r="M50" s="9"/>
      <c r="N50" s="9" t="n">
        <v>141.33</v>
      </c>
      <c r="O50" s="9"/>
      <c r="P50" s="9" t="s">
        <v>589</v>
      </c>
      <c r="Q50" s="9" t="s">
        <v>268</v>
      </c>
      <c r="R50" s="9" t="s">
        <v>578</v>
      </c>
      <c r="S50" s="9"/>
      <c r="T50" s="9" t="s">
        <v>858</v>
      </c>
    </row>
    <row r="51" customFormat="false" ht="15" hidden="false" customHeight="true" outlineLevel="0" collapsed="false">
      <c r="A51" s="9" t="s">
        <v>603</v>
      </c>
      <c r="B51" s="9" t="s">
        <v>243</v>
      </c>
      <c r="C51" s="9" t="s">
        <v>589</v>
      </c>
      <c r="D51" s="9" t="s">
        <v>555</v>
      </c>
      <c r="E51" s="9" t="s">
        <v>849</v>
      </c>
      <c r="F51" s="9" t="s">
        <v>786</v>
      </c>
      <c r="G51" s="9" t="s">
        <v>602</v>
      </c>
      <c r="H51" s="9"/>
      <c r="I51" s="9"/>
      <c r="J51" s="9" t="s">
        <v>112</v>
      </c>
      <c r="K51" s="9" t="s">
        <v>247</v>
      </c>
      <c r="L51" s="9"/>
      <c r="M51" s="9"/>
      <c r="N51" s="9" t="n">
        <v>128.49</v>
      </c>
      <c r="O51" s="9"/>
      <c r="P51" s="9" t="s">
        <v>169</v>
      </c>
      <c r="Q51" s="9" t="s">
        <v>600</v>
      </c>
      <c r="R51" s="9" t="s">
        <v>601</v>
      </c>
      <c r="S51" s="9"/>
      <c r="T51" s="9" t="s">
        <v>859</v>
      </c>
    </row>
    <row r="52" customFormat="false" ht="15" hidden="false" customHeight="true" outlineLevel="0" collapsed="false">
      <c r="A52" s="9" t="s">
        <v>670</v>
      </c>
      <c r="B52" s="9"/>
      <c r="C52" s="9" t="s">
        <v>176</v>
      </c>
      <c r="D52" s="9" t="s">
        <v>555</v>
      </c>
      <c r="E52" s="9" t="s">
        <v>849</v>
      </c>
      <c r="F52" s="9" t="s">
        <v>786</v>
      </c>
      <c r="G52" s="9" t="s">
        <v>668</v>
      </c>
      <c r="H52" s="9"/>
      <c r="I52" s="9"/>
      <c r="J52" s="9" t="s">
        <v>112</v>
      </c>
      <c r="K52" s="9" t="s">
        <v>669</v>
      </c>
      <c r="L52" s="9"/>
      <c r="M52" s="9"/>
      <c r="N52" s="9" t="n">
        <v>138.09</v>
      </c>
      <c r="O52" s="9"/>
      <c r="P52" s="9" t="s">
        <v>169</v>
      </c>
      <c r="Q52" s="9" t="s">
        <v>666</v>
      </c>
      <c r="R52" s="9" t="s">
        <v>667</v>
      </c>
      <c r="S52" s="9"/>
      <c r="T52" s="9" t="s">
        <v>860</v>
      </c>
    </row>
    <row r="53" customFormat="false" ht="15" hidden="false" customHeight="true" outlineLevel="0" collapsed="false">
      <c r="A53" s="9" t="s">
        <v>638</v>
      </c>
      <c r="B53" s="9" t="s">
        <v>230</v>
      </c>
      <c r="C53" s="9" t="s">
        <v>176</v>
      </c>
      <c r="D53" s="9" t="s">
        <v>555</v>
      </c>
      <c r="E53" s="9" t="s">
        <v>849</v>
      </c>
      <c r="F53" s="9" t="s">
        <v>786</v>
      </c>
      <c r="G53" s="9" t="s">
        <v>636</v>
      </c>
      <c r="H53" s="9"/>
      <c r="I53" s="9"/>
      <c r="J53" s="9" t="s">
        <v>112</v>
      </c>
      <c r="K53" s="9" t="s">
        <v>637</v>
      </c>
      <c r="L53" s="9"/>
      <c r="M53" s="9"/>
      <c r="N53" s="9" t="n">
        <v>138.09</v>
      </c>
      <c r="O53" s="9"/>
      <c r="P53" s="9" t="s">
        <v>169</v>
      </c>
      <c r="Q53" s="9" t="s">
        <v>634</v>
      </c>
      <c r="R53" s="9" t="s">
        <v>635</v>
      </c>
      <c r="S53" s="9"/>
      <c r="T53" s="9" t="s">
        <v>861</v>
      </c>
    </row>
    <row r="54" customFormat="false" ht="15" hidden="false" customHeight="true" outlineLevel="0" collapsed="false">
      <c r="A54" s="9" t="s">
        <v>610</v>
      </c>
      <c r="B54" s="9"/>
      <c r="C54" s="9" t="s">
        <v>176</v>
      </c>
      <c r="D54" s="9" t="s">
        <v>555</v>
      </c>
      <c r="E54" s="9" t="s">
        <v>849</v>
      </c>
      <c r="F54" s="9" t="s">
        <v>786</v>
      </c>
      <c r="G54" s="9" t="s">
        <v>608</v>
      </c>
      <c r="H54" s="9"/>
      <c r="I54" s="9"/>
      <c r="J54" s="9" t="s">
        <v>112</v>
      </c>
      <c r="K54" s="9" t="s">
        <v>609</v>
      </c>
      <c r="L54" s="9"/>
      <c r="M54" s="9"/>
      <c r="N54" s="9" t="n">
        <v>166.68</v>
      </c>
      <c r="O54" s="9"/>
      <c r="P54" s="9" t="s">
        <v>169</v>
      </c>
      <c r="Q54" s="9" t="s">
        <v>606</v>
      </c>
      <c r="R54" s="9" t="s">
        <v>607</v>
      </c>
      <c r="S54" s="9"/>
      <c r="T54" s="9" t="s">
        <v>862</v>
      </c>
    </row>
    <row r="55" customFormat="false" ht="15" hidden="false" customHeight="true" outlineLevel="0" collapsed="false">
      <c r="A55" s="9" t="s">
        <v>664</v>
      </c>
      <c r="B55" s="9"/>
      <c r="C55" s="9" t="s">
        <v>176</v>
      </c>
      <c r="D55" s="9" t="s">
        <v>555</v>
      </c>
      <c r="E55" s="9" t="s">
        <v>849</v>
      </c>
      <c r="F55" s="9" t="s">
        <v>786</v>
      </c>
      <c r="G55" s="9" t="s">
        <v>662</v>
      </c>
      <c r="H55" s="9"/>
      <c r="I55" s="9"/>
      <c r="J55" s="9" t="s">
        <v>112</v>
      </c>
      <c r="K55" s="9" t="s">
        <v>663</v>
      </c>
      <c r="L55" s="9"/>
      <c r="M55" s="9"/>
      <c r="N55" s="9" t="n">
        <v>128.49</v>
      </c>
      <c r="O55" s="9"/>
      <c r="P55" s="9" t="s">
        <v>169</v>
      </c>
      <c r="Q55" s="9" t="s">
        <v>660</v>
      </c>
      <c r="R55" s="9" t="s">
        <v>661</v>
      </c>
      <c r="S55" s="9"/>
      <c r="T55" s="9" t="s">
        <v>863</v>
      </c>
    </row>
    <row r="56" customFormat="false" ht="15" hidden="false" customHeight="true" outlineLevel="0" collapsed="false">
      <c r="A56" s="9" t="s">
        <v>628</v>
      </c>
      <c r="B56" s="9"/>
      <c r="C56" s="9" t="s">
        <v>589</v>
      </c>
      <c r="D56" s="9" t="s">
        <v>555</v>
      </c>
      <c r="E56" s="9" t="s">
        <v>849</v>
      </c>
      <c r="F56" s="9" t="s">
        <v>786</v>
      </c>
      <c r="G56" s="9" t="s">
        <v>626</v>
      </c>
      <c r="H56" s="9"/>
      <c r="I56" s="9"/>
      <c r="J56" s="9" t="s">
        <v>112</v>
      </c>
      <c r="K56" s="9" t="s">
        <v>627</v>
      </c>
      <c r="L56" s="9"/>
      <c r="M56" s="9"/>
      <c r="N56" s="9" t="n">
        <v>166.68</v>
      </c>
      <c r="O56" s="9"/>
      <c r="P56" s="9" t="s">
        <v>169</v>
      </c>
      <c r="Q56" s="9" t="s">
        <v>624</v>
      </c>
      <c r="R56" s="9" t="s">
        <v>625</v>
      </c>
      <c r="S56" s="9"/>
      <c r="T56" s="9" t="s">
        <v>864</v>
      </c>
    </row>
    <row r="57" customFormat="false" ht="15" hidden="false" customHeight="true" outlineLevel="0" collapsed="false">
      <c r="A57" s="9" t="s">
        <v>702</v>
      </c>
      <c r="B57" s="9"/>
      <c r="C57" s="9" t="s">
        <v>589</v>
      </c>
      <c r="D57" s="9" t="s">
        <v>555</v>
      </c>
      <c r="E57" s="9" t="s">
        <v>849</v>
      </c>
      <c r="F57" s="9" t="s">
        <v>786</v>
      </c>
      <c r="G57" s="9" t="s">
        <v>700</v>
      </c>
      <c r="H57" s="9"/>
      <c r="I57" s="9"/>
      <c r="J57" s="9" t="s">
        <v>112</v>
      </c>
      <c r="K57" s="9" t="s">
        <v>701</v>
      </c>
      <c r="L57" s="9"/>
      <c r="M57" s="9"/>
      <c r="N57" s="9" t="n">
        <v>128.49</v>
      </c>
      <c r="O57" s="9"/>
      <c r="P57" s="9" t="s">
        <v>169</v>
      </c>
      <c r="Q57" s="9" t="s">
        <v>698</v>
      </c>
      <c r="R57" s="9" t="s">
        <v>699</v>
      </c>
      <c r="S57" s="9"/>
      <c r="T57" s="9" t="s">
        <v>865</v>
      </c>
    </row>
    <row r="58" customFormat="false" ht="15" hidden="false" customHeight="true" outlineLevel="0" collapsed="false">
      <c r="A58" s="9" t="s">
        <v>592</v>
      </c>
      <c r="B58" s="9" t="s">
        <v>257</v>
      </c>
      <c r="C58" s="9" t="s">
        <v>589</v>
      </c>
      <c r="D58" s="9" t="s">
        <v>555</v>
      </c>
      <c r="E58" s="9" t="s">
        <v>849</v>
      </c>
      <c r="F58" s="9" t="s">
        <v>786</v>
      </c>
      <c r="G58" s="9" t="s">
        <v>591</v>
      </c>
      <c r="H58" s="9"/>
      <c r="I58" s="9"/>
      <c r="J58" s="9" t="s">
        <v>112</v>
      </c>
      <c r="K58" s="9" t="s">
        <v>261</v>
      </c>
      <c r="L58" s="9"/>
      <c r="M58" s="9"/>
      <c r="N58" s="9" t="n">
        <v>123.9</v>
      </c>
      <c r="O58" s="9"/>
      <c r="P58" s="9" t="s">
        <v>169</v>
      </c>
      <c r="Q58" s="9" t="s">
        <v>259</v>
      </c>
      <c r="R58" s="9" t="s">
        <v>590</v>
      </c>
      <c r="S58" s="9"/>
      <c r="T58" s="9" t="s">
        <v>866</v>
      </c>
    </row>
    <row r="59" customFormat="false" ht="15" hidden="false" customHeight="true" outlineLevel="0" collapsed="false">
      <c r="A59" s="9" t="s">
        <v>632</v>
      </c>
      <c r="B59" s="9" t="s">
        <v>252</v>
      </c>
      <c r="C59" s="9" t="s">
        <v>589</v>
      </c>
      <c r="D59" s="9" t="s">
        <v>555</v>
      </c>
      <c r="E59" s="9" t="s">
        <v>849</v>
      </c>
      <c r="F59" s="9" t="s">
        <v>786</v>
      </c>
      <c r="G59" s="9" t="s">
        <v>631</v>
      </c>
      <c r="H59" s="9"/>
      <c r="I59" s="9"/>
      <c r="J59" s="9" t="s">
        <v>112</v>
      </c>
      <c r="K59" s="9" t="s">
        <v>256</v>
      </c>
      <c r="L59" s="9"/>
      <c r="M59" s="9"/>
      <c r="N59" s="9" t="n">
        <v>141.33</v>
      </c>
      <c r="O59" s="9"/>
      <c r="P59" s="9" t="s">
        <v>867</v>
      </c>
      <c r="Q59" s="9" t="s">
        <v>254</v>
      </c>
      <c r="R59" s="9" t="s">
        <v>630</v>
      </c>
      <c r="S59" s="9"/>
      <c r="T59" s="9" t="s">
        <v>868</v>
      </c>
    </row>
    <row r="60" customFormat="false" ht="15" hidden="false" customHeight="true" outlineLevel="0" collapsed="false">
      <c r="A60" s="9" t="s">
        <v>690</v>
      </c>
      <c r="B60" s="9" t="s">
        <v>234</v>
      </c>
      <c r="C60" s="9" t="s">
        <v>589</v>
      </c>
      <c r="D60" s="9" t="s">
        <v>555</v>
      </c>
      <c r="E60" s="9" t="s">
        <v>849</v>
      </c>
      <c r="F60" s="9" t="s">
        <v>786</v>
      </c>
      <c r="G60" s="9" t="s">
        <v>689</v>
      </c>
      <c r="H60" s="9"/>
      <c r="I60" s="9"/>
      <c r="J60" s="9" t="s">
        <v>112</v>
      </c>
      <c r="K60" s="9" t="s">
        <v>237</v>
      </c>
      <c r="L60" s="9"/>
      <c r="M60" s="9"/>
      <c r="N60" s="9" t="n">
        <v>128.49</v>
      </c>
      <c r="O60" s="9"/>
      <c r="P60" s="9" t="s">
        <v>867</v>
      </c>
      <c r="Q60" s="9" t="s">
        <v>235</v>
      </c>
      <c r="R60" s="9" t="s">
        <v>688</v>
      </c>
      <c r="S60" s="9"/>
      <c r="T60" s="9" t="s">
        <v>869</v>
      </c>
    </row>
    <row r="61" customFormat="false" ht="15" hidden="false" customHeight="true" outlineLevel="0" collapsed="false">
      <c r="A61" s="9" t="s">
        <v>642</v>
      </c>
      <c r="B61" s="9" t="s">
        <v>230</v>
      </c>
      <c r="C61" s="9" t="s">
        <v>589</v>
      </c>
      <c r="D61" s="9" t="s">
        <v>555</v>
      </c>
      <c r="E61" s="9" t="s">
        <v>849</v>
      </c>
      <c r="F61" s="9" t="s">
        <v>786</v>
      </c>
      <c r="G61" s="9" t="s">
        <v>641</v>
      </c>
      <c r="H61" s="9"/>
      <c r="I61" s="9"/>
      <c r="J61" s="9" t="s">
        <v>112</v>
      </c>
      <c r="K61" s="9" t="s">
        <v>233</v>
      </c>
      <c r="L61" s="9"/>
      <c r="M61" s="9"/>
      <c r="N61" s="9" t="n">
        <v>138.09</v>
      </c>
      <c r="O61" s="9"/>
      <c r="P61" s="9" t="s">
        <v>156</v>
      </c>
      <c r="Q61" s="9" t="s">
        <v>231</v>
      </c>
      <c r="R61" s="9" t="s">
        <v>640</v>
      </c>
      <c r="S61" s="9"/>
      <c r="T61" s="9" t="s">
        <v>870</v>
      </c>
    </row>
    <row r="62" customFormat="false" ht="15" hidden="false" customHeight="true" outlineLevel="0" collapsed="false">
      <c r="A62" s="9" t="s">
        <v>658</v>
      </c>
      <c r="B62" s="9" t="s">
        <v>217</v>
      </c>
      <c r="C62" s="9" t="s">
        <v>173</v>
      </c>
      <c r="D62" s="9" t="s">
        <v>555</v>
      </c>
      <c r="E62" s="9" t="s">
        <v>849</v>
      </c>
      <c r="F62" s="9" t="s">
        <v>786</v>
      </c>
      <c r="G62" s="9" t="s">
        <v>657</v>
      </c>
      <c r="H62" s="9"/>
      <c r="I62" s="9"/>
      <c r="J62" s="9" t="s">
        <v>112</v>
      </c>
      <c r="K62" s="9" t="s">
        <v>221</v>
      </c>
      <c r="L62" s="9"/>
      <c r="M62" s="9"/>
      <c r="N62" s="9" t="n">
        <v>132.37</v>
      </c>
      <c r="O62" s="9"/>
      <c r="P62" s="9" t="s">
        <v>156</v>
      </c>
      <c r="Q62" s="9" t="s">
        <v>219</v>
      </c>
      <c r="R62" s="9" t="s">
        <v>656</v>
      </c>
      <c r="S62" s="9"/>
      <c r="T62" s="9" t="s">
        <v>871</v>
      </c>
    </row>
    <row r="63" customFormat="false" ht="15" hidden="false" customHeight="true" outlineLevel="0" collapsed="false">
      <c r="A63" s="9" t="s">
        <v>622</v>
      </c>
      <c r="B63" s="9" t="s">
        <v>212</v>
      </c>
      <c r="C63" s="9" t="s">
        <v>173</v>
      </c>
      <c r="D63" s="9" t="s">
        <v>555</v>
      </c>
      <c r="E63" s="9" t="s">
        <v>849</v>
      </c>
      <c r="F63" s="9" t="s">
        <v>786</v>
      </c>
      <c r="G63" s="9" t="s">
        <v>621</v>
      </c>
      <c r="H63" s="9"/>
      <c r="I63" s="9"/>
      <c r="J63" s="9" t="s">
        <v>112</v>
      </c>
      <c r="K63" s="9" t="s">
        <v>216</v>
      </c>
      <c r="L63" s="9"/>
      <c r="M63" s="9"/>
      <c r="N63" s="9" t="n">
        <v>141.51</v>
      </c>
      <c r="O63" s="9"/>
      <c r="P63" s="9" t="s">
        <v>156</v>
      </c>
      <c r="Q63" s="9" t="s">
        <v>214</v>
      </c>
      <c r="R63" s="9" t="s">
        <v>620</v>
      </c>
      <c r="S63" s="9"/>
      <c r="T63" s="9" t="s">
        <v>872</v>
      </c>
    </row>
    <row r="64" customFormat="false" ht="15" hidden="false" customHeight="true" outlineLevel="0" collapsed="false">
      <c r="A64" s="9" t="s">
        <v>614</v>
      </c>
      <c r="B64" s="9" t="s">
        <v>208</v>
      </c>
      <c r="C64" s="9" t="s">
        <v>173</v>
      </c>
      <c r="D64" s="9" t="s">
        <v>555</v>
      </c>
      <c r="E64" s="9" t="s">
        <v>849</v>
      </c>
      <c r="F64" s="9" t="s">
        <v>786</v>
      </c>
      <c r="G64" s="9" t="s">
        <v>613</v>
      </c>
      <c r="H64" s="9"/>
      <c r="I64" s="9"/>
      <c r="J64" s="9" t="s">
        <v>112</v>
      </c>
      <c r="K64" s="9" t="s">
        <v>211</v>
      </c>
      <c r="L64" s="9"/>
      <c r="M64" s="9"/>
      <c r="N64" s="9" t="n">
        <v>166.85</v>
      </c>
      <c r="O64" s="9"/>
      <c r="P64" s="9" t="s">
        <v>156</v>
      </c>
      <c r="Q64" s="9" t="s">
        <v>209</v>
      </c>
      <c r="R64" s="9" t="s">
        <v>612</v>
      </c>
      <c r="S64" s="9"/>
      <c r="T64" s="9" t="s">
        <v>873</v>
      </c>
    </row>
    <row r="65" customFormat="false" ht="15" hidden="false" customHeight="true" outlineLevel="0" collapsed="false">
      <c r="A65" s="9" t="s">
        <v>575</v>
      </c>
      <c r="B65" s="9" t="s">
        <v>204</v>
      </c>
      <c r="C65" s="9" t="s">
        <v>173</v>
      </c>
      <c r="D65" s="9" t="s">
        <v>555</v>
      </c>
      <c r="E65" s="9" t="s">
        <v>849</v>
      </c>
      <c r="F65" s="9" t="s">
        <v>786</v>
      </c>
      <c r="G65" s="9" t="s">
        <v>574</v>
      </c>
      <c r="H65" s="9"/>
      <c r="I65" s="9"/>
      <c r="J65" s="9" t="s">
        <v>112</v>
      </c>
      <c r="K65" s="9" t="s">
        <v>207</v>
      </c>
      <c r="L65" s="9"/>
      <c r="M65" s="9"/>
      <c r="N65" s="9" t="n">
        <v>141.51</v>
      </c>
      <c r="O65" s="9"/>
      <c r="P65" s="9" t="s">
        <v>156</v>
      </c>
      <c r="Q65" s="9" t="s">
        <v>572</v>
      </c>
      <c r="R65" s="9" t="s">
        <v>573</v>
      </c>
      <c r="S65" s="9"/>
      <c r="T65" s="9" t="s">
        <v>874</v>
      </c>
    </row>
    <row r="66" customFormat="false" ht="15" hidden="false" customHeight="true" outlineLevel="0" collapsed="false">
      <c r="A66" s="9" t="s">
        <v>710</v>
      </c>
      <c r="B66" s="9" t="s">
        <v>193</v>
      </c>
      <c r="C66" s="9" t="s">
        <v>173</v>
      </c>
      <c r="D66" s="9" t="s">
        <v>555</v>
      </c>
      <c r="E66" s="9" t="s">
        <v>849</v>
      </c>
      <c r="F66" s="9" t="s">
        <v>786</v>
      </c>
      <c r="G66" s="9" t="s">
        <v>709</v>
      </c>
      <c r="H66" s="9"/>
      <c r="I66" s="9"/>
      <c r="J66" s="9" t="s">
        <v>112</v>
      </c>
      <c r="K66" s="9" t="s">
        <v>197</v>
      </c>
      <c r="L66" s="9"/>
      <c r="M66" s="9"/>
      <c r="N66" s="9" t="n">
        <v>138.26</v>
      </c>
      <c r="O66" s="9"/>
      <c r="P66" s="9" t="s">
        <v>156</v>
      </c>
      <c r="Q66" s="9" t="s">
        <v>195</v>
      </c>
      <c r="R66" s="9" t="s">
        <v>708</v>
      </c>
      <c r="S66" s="9"/>
      <c r="T66" s="9" t="s">
        <v>875</v>
      </c>
    </row>
    <row r="67" customFormat="false" ht="15" hidden="false" customHeight="true" outlineLevel="0" collapsed="false">
      <c r="A67" s="9" t="s">
        <v>876</v>
      </c>
      <c r="B67" s="9"/>
      <c r="C67" s="9" t="s">
        <v>173</v>
      </c>
      <c r="D67" s="9" t="s">
        <v>555</v>
      </c>
      <c r="E67" s="9" t="s">
        <v>849</v>
      </c>
      <c r="F67" s="9" t="s">
        <v>786</v>
      </c>
      <c r="G67" s="9" t="s">
        <v>652</v>
      </c>
      <c r="H67" s="9"/>
      <c r="I67" s="9"/>
      <c r="J67" s="9" t="s">
        <v>112</v>
      </c>
      <c r="K67" s="9" t="s">
        <v>877</v>
      </c>
      <c r="L67" s="9"/>
      <c r="M67" s="9"/>
      <c r="N67" s="9" t="n">
        <v>37.92</v>
      </c>
      <c r="O67" s="9"/>
      <c r="P67" s="9" t="s">
        <v>156</v>
      </c>
      <c r="Q67" s="9" t="s">
        <v>650</v>
      </c>
      <c r="R67" s="9" t="s">
        <v>651</v>
      </c>
      <c r="S67" s="9"/>
      <c r="T67" s="9" t="s">
        <v>878</v>
      </c>
    </row>
    <row r="68" customFormat="false" ht="15" hidden="false" customHeight="true" outlineLevel="0" collapsed="false">
      <c r="A68" s="9" t="s">
        <v>686</v>
      </c>
      <c r="B68" s="9" t="s">
        <v>189</v>
      </c>
      <c r="C68" s="9" t="s">
        <v>173</v>
      </c>
      <c r="D68" s="9" t="s">
        <v>555</v>
      </c>
      <c r="E68" s="9" t="s">
        <v>849</v>
      </c>
      <c r="F68" s="9" t="s">
        <v>786</v>
      </c>
      <c r="G68" s="9" t="s">
        <v>685</v>
      </c>
      <c r="H68" s="9"/>
      <c r="I68" s="9"/>
      <c r="J68" s="9" t="s">
        <v>112</v>
      </c>
      <c r="K68" s="9" t="s">
        <v>192</v>
      </c>
      <c r="L68" s="9"/>
      <c r="M68" s="9"/>
      <c r="N68" s="9" t="n">
        <v>128.66</v>
      </c>
      <c r="O68" s="9"/>
      <c r="P68" s="9" t="s">
        <v>156</v>
      </c>
      <c r="Q68" s="9" t="s">
        <v>190</v>
      </c>
      <c r="R68" s="9" t="s">
        <v>684</v>
      </c>
      <c r="S68" s="9"/>
      <c r="T68" s="9" t="s">
        <v>879</v>
      </c>
    </row>
    <row r="69" customFormat="false" ht="15" hidden="false" customHeight="true" outlineLevel="0" collapsed="false">
      <c r="A69" s="9" t="s">
        <v>674</v>
      </c>
      <c r="B69" s="9" t="s">
        <v>281</v>
      </c>
      <c r="C69" s="9" t="s">
        <v>156</v>
      </c>
      <c r="D69" s="9" t="s">
        <v>555</v>
      </c>
      <c r="E69" s="9" t="s">
        <v>849</v>
      </c>
      <c r="F69" s="9" t="s">
        <v>786</v>
      </c>
      <c r="G69" s="9" t="s">
        <v>673</v>
      </c>
      <c r="H69" s="9"/>
      <c r="I69" s="9"/>
      <c r="J69" s="9" t="s">
        <v>112</v>
      </c>
      <c r="K69" s="9" t="s">
        <v>285</v>
      </c>
      <c r="L69" s="9"/>
      <c r="M69" s="9"/>
      <c r="N69" s="9" t="n">
        <v>144.69</v>
      </c>
      <c r="O69" s="9"/>
      <c r="P69" s="9" t="s">
        <v>153</v>
      </c>
      <c r="Q69" s="9" t="s">
        <v>283</v>
      </c>
      <c r="R69" s="9" t="s">
        <v>672</v>
      </c>
      <c r="S69" s="9"/>
      <c r="T69" s="9" t="s">
        <v>880</v>
      </c>
    </row>
    <row r="70" customFormat="false" ht="15" hidden="false" customHeight="true" outlineLevel="0" collapsed="false">
      <c r="A70" s="9" t="s">
        <v>720</v>
      </c>
      <c r="B70" s="9" t="s">
        <v>184</v>
      </c>
      <c r="C70" s="9" t="s">
        <v>541</v>
      </c>
      <c r="D70" s="9" t="s">
        <v>555</v>
      </c>
      <c r="E70" s="9" t="s">
        <v>849</v>
      </c>
      <c r="F70" s="9" t="s">
        <v>786</v>
      </c>
      <c r="G70" s="9" t="s">
        <v>719</v>
      </c>
      <c r="H70" s="9"/>
      <c r="I70" s="9"/>
      <c r="J70" s="9" t="s">
        <v>112</v>
      </c>
      <c r="K70" s="9" t="s">
        <v>188</v>
      </c>
      <c r="L70" s="9"/>
      <c r="M70" s="9"/>
      <c r="N70" s="9" t="n">
        <v>135.34</v>
      </c>
      <c r="O70" s="9"/>
      <c r="P70" s="9" t="s">
        <v>153</v>
      </c>
      <c r="Q70" s="9" t="s">
        <v>186</v>
      </c>
      <c r="R70" s="9" t="s">
        <v>718</v>
      </c>
      <c r="S70" s="9"/>
      <c r="T70" s="9" t="s">
        <v>881</v>
      </c>
    </row>
    <row r="71" customFormat="false" ht="15" hidden="false" customHeight="true" outlineLevel="0" collapsed="false">
      <c r="A71" s="9" t="s">
        <v>618</v>
      </c>
      <c r="B71" s="9" t="s">
        <v>179</v>
      </c>
      <c r="C71" s="9" t="s">
        <v>410</v>
      </c>
      <c r="D71" s="9" t="s">
        <v>555</v>
      </c>
      <c r="E71" s="9" t="s">
        <v>849</v>
      </c>
      <c r="F71" s="9" t="s">
        <v>786</v>
      </c>
      <c r="G71" s="9" t="s">
        <v>617</v>
      </c>
      <c r="H71" s="9"/>
      <c r="I71" s="9"/>
      <c r="J71" s="9" t="s">
        <v>112</v>
      </c>
      <c r="K71" s="9" t="s">
        <v>183</v>
      </c>
      <c r="L71" s="9"/>
      <c r="M71" s="9"/>
      <c r="N71" s="9" t="n">
        <v>164.08</v>
      </c>
      <c r="O71" s="9"/>
      <c r="P71" s="9" t="s">
        <v>359</v>
      </c>
      <c r="Q71" s="9" t="s">
        <v>181</v>
      </c>
      <c r="R71" s="9" t="s">
        <v>616</v>
      </c>
      <c r="S71" s="9"/>
      <c r="T71" s="9" t="s">
        <v>882</v>
      </c>
    </row>
    <row r="72" customFormat="false" ht="15" hidden="false" customHeight="true" outlineLevel="0" collapsed="false">
      <c r="A72" s="9" t="s">
        <v>883</v>
      </c>
      <c r="B72" s="9" t="s">
        <v>175</v>
      </c>
      <c r="C72" s="9"/>
      <c r="D72" s="9" t="s">
        <v>555</v>
      </c>
      <c r="E72" s="9" t="s">
        <v>849</v>
      </c>
      <c r="F72" s="9" t="s">
        <v>786</v>
      </c>
      <c r="G72" s="9" t="s">
        <v>884</v>
      </c>
      <c r="H72" s="9"/>
      <c r="I72" s="9"/>
      <c r="J72" s="9" t="s">
        <v>727</v>
      </c>
      <c r="K72" s="9"/>
      <c r="L72" s="9"/>
      <c r="M72" s="9"/>
      <c r="N72" s="9"/>
      <c r="O72" s="9"/>
      <c r="P72" s="9"/>
      <c r="Q72" s="9" t="s">
        <v>177</v>
      </c>
      <c r="R72" s="9" t="s">
        <v>885</v>
      </c>
      <c r="S72" s="9"/>
      <c r="T72" s="9"/>
    </row>
    <row r="73" customFormat="false" ht="15" hidden="false" customHeight="true" outlineLevel="0" collapsed="false">
      <c r="A73" s="9" t="s">
        <v>886</v>
      </c>
      <c r="B73" s="9" t="s">
        <v>168</v>
      </c>
      <c r="C73" s="9"/>
      <c r="D73" s="9" t="s">
        <v>555</v>
      </c>
      <c r="E73" s="9" t="s">
        <v>849</v>
      </c>
      <c r="F73" s="9" t="s">
        <v>786</v>
      </c>
      <c r="G73" s="9" t="s">
        <v>887</v>
      </c>
      <c r="H73" s="9"/>
      <c r="I73" s="9"/>
      <c r="J73" s="9" t="s">
        <v>727</v>
      </c>
      <c r="K73" s="9"/>
      <c r="L73" s="9"/>
      <c r="M73" s="9"/>
      <c r="N73" s="9"/>
      <c r="O73" s="9"/>
      <c r="P73" s="9"/>
      <c r="Q73" s="9" t="s">
        <v>170</v>
      </c>
      <c r="R73" s="9" t="s">
        <v>888</v>
      </c>
      <c r="S73" s="9"/>
      <c r="T73" s="9"/>
    </row>
    <row r="74" customFormat="false" ht="15" hidden="false" customHeight="true" outlineLevel="0" collapsed="false">
      <c r="A74" s="9" t="s">
        <v>889</v>
      </c>
      <c r="B74" s="9" t="s">
        <v>159</v>
      </c>
      <c r="C74" s="9"/>
      <c r="D74" s="9" t="s">
        <v>555</v>
      </c>
      <c r="E74" s="9" t="s">
        <v>849</v>
      </c>
      <c r="F74" s="9" t="s">
        <v>786</v>
      </c>
      <c r="G74" s="9" t="s">
        <v>890</v>
      </c>
      <c r="H74" s="9"/>
      <c r="I74" s="9"/>
      <c r="J74" s="9" t="s">
        <v>727</v>
      </c>
      <c r="K74" s="9"/>
      <c r="L74" s="9"/>
      <c r="M74" s="9"/>
      <c r="N74" s="9"/>
      <c r="O74" s="9"/>
      <c r="P74" s="9"/>
      <c r="Q74" s="9" t="s">
        <v>161</v>
      </c>
      <c r="R74" s="9" t="s">
        <v>891</v>
      </c>
      <c r="S74" s="9"/>
      <c r="T74" s="9"/>
    </row>
    <row r="75" customFormat="false" ht="15" hidden="false" customHeight="true" outlineLevel="0" collapsed="false">
      <c r="A75" s="9" t="s">
        <v>892</v>
      </c>
      <c r="B75" s="9" t="s">
        <v>148</v>
      </c>
      <c r="C75" s="9"/>
      <c r="D75" s="9" t="s">
        <v>555</v>
      </c>
      <c r="E75" s="9" t="s">
        <v>849</v>
      </c>
      <c r="F75" s="9" t="s">
        <v>786</v>
      </c>
      <c r="G75" s="9" t="s">
        <v>893</v>
      </c>
      <c r="H75" s="9"/>
      <c r="I75" s="9"/>
      <c r="J75" s="9" t="s">
        <v>727</v>
      </c>
      <c r="K75" s="9"/>
      <c r="L75" s="9"/>
      <c r="M75" s="9"/>
      <c r="N75" s="9"/>
      <c r="O75" s="9"/>
      <c r="P75" s="9"/>
      <c r="Q75" s="9" t="s">
        <v>150</v>
      </c>
      <c r="R75" s="9" t="s">
        <v>894</v>
      </c>
      <c r="S75" s="9"/>
      <c r="T75" s="9"/>
    </row>
    <row r="76" customFormat="false" ht="15" hidden="false" customHeight="true" outlineLevel="0" collapsed="false">
      <c r="A76" s="9" t="s">
        <v>895</v>
      </c>
      <c r="B76" s="9" t="s">
        <v>142</v>
      </c>
      <c r="C76" s="9"/>
      <c r="D76" s="9"/>
      <c r="E76" s="9" t="s">
        <v>126</v>
      </c>
      <c r="F76" s="9" t="s">
        <v>786</v>
      </c>
      <c r="G76" s="9" t="s">
        <v>896</v>
      </c>
      <c r="H76" s="9"/>
      <c r="I76" s="9"/>
      <c r="J76" s="9" t="s">
        <v>727</v>
      </c>
      <c r="K76" s="9"/>
      <c r="L76" s="9"/>
      <c r="M76" s="9"/>
      <c r="N76" s="9"/>
      <c r="O76" s="9"/>
      <c r="P76" s="9"/>
      <c r="Q76" s="9" t="s">
        <v>143</v>
      </c>
      <c r="R76" s="9" t="s">
        <v>897</v>
      </c>
      <c r="S76" s="9"/>
      <c r="T76" s="9"/>
    </row>
    <row r="77" customFormat="false" ht="15" hidden="false" customHeight="true" outlineLevel="0" collapsed="false">
      <c r="A77" s="9" t="s">
        <v>898</v>
      </c>
      <c r="B77" s="9" t="s">
        <v>134</v>
      </c>
      <c r="C77" s="9"/>
      <c r="D77" s="9"/>
      <c r="E77" s="9" t="s">
        <v>126</v>
      </c>
      <c r="F77" s="9" t="s">
        <v>786</v>
      </c>
      <c r="G77" s="9" t="s">
        <v>899</v>
      </c>
      <c r="H77" s="9"/>
      <c r="I77" s="9"/>
      <c r="J77" s="9" t="s">
        <v>727</v>
      </c>
      <c r="K77" s="9"/>
      <c r="L77" s="9"/>
      <c r="M77" s="9"/>
      <c r="N77" s="9"/>
      <c r="O77" s="9"/>
      <c r="P77" s="9"/>
      <c r="Q77" s="9" t="s">
        <v>136</v>
      </c>
      <c r="R77" s="9" t="s">
        <v>900</v>
      </c>
      <c r="S77" s="9"/>
      <c r="T77" s="9"/>
    </row>
    <row r="78" customFormat="false" ht="15" hidden="false" customHeight="true" outlineLevel="0" collapsed="false">
      <c r="A78" s="9" t="s">
        <v>901</v>
      </c>
      <c r="B78" s="9" t="s">
        <v>117</v>
      </c>
      <c r="C78" s="9"/>
      <c r="D78" s="9"/>
      <c r="E78" s="9" t="s">
        <v>126</v>
      </c>
      <c r="F78" s="9" t="s">
        <v>786</v>
      </c>
      <c r="G78" s="9" t="s">
        <v>902</v>
      </c>
      <c r="H78" s="9"/>
      <c r="I78" s="9"/>
      <c r="J78" s="9" t="s">
        <v>727</v>
      </c>
      <c r="K78" s="9"/>
      <c r="L78" s="9"/>
      <c r="M78" s="9"/>
      <c r="N78" s="9"/>
      <c r="O78" s="9"/>
      <c r="P78" s="9"/>
      <c r="Q78" s="9" t="s">
        <v>119</v>
      </c>
      <c r="R78" s="9" t="s">
        <v>903</v>
      </c>
      <c r="S78" s="9"/>
      <c r="T78" s="9"/>
    </row>
    <row r="79" customFormat="false" ht="15" hidden="false" customHeight="true" outlineLevel="0" collapsed="false">
      <c r="A79" s="9" t="s">
        <v>904</v>
      </c>
      <c r="B79" s="9" t="s">
        <v>106</v>
      </c>
      <c r="C79" s="9"/>
      <c r="D79" s="9"/>
      <c r="E79" s="9" t="s">
        <v>126</v>
      </c>
      <c r="F79" s="9" t="s">
        <v>786</v>
      </c>
      <c r="G79" s="9" t="s">
        <v>905</v>
      </c>
      <c r="H79" s="9"/>
      <c r="I79" s="9"/>
      <c r="J79" s="9" t="s">
        <v>727</v>
      </c>
      <c r="K79" s="9"/>
      <c r="L79" s="9"/>
      <c r="M79" s="9"/>
      <c r="N79" s="9"/>
      <c r="O79" s="9"/>
      <c r="P79" s="9"/>
      <c r="Q79" s="9" t="s">
        <v>108</v>
      </c>
      <c r="R79" s="9" t="s">
        <v>906</v>
      </c>
      <c r="S79" s="9"/>
      <c r="T79" s="9"/>
    </row>
  </sheetData>
  <dataValidations count="2">
    <dataValidation allowBlank="true" errorStyle="stop" operator="between" showDropDown="false" showErrorMessage="false" showInputMessage="false" sqref="J4:J500" type="list">
      <formula1>"Pending,Label Created,Picked Up,In Transit,Out for Delivery,Delivered,Exception,Returned"</formula1>
      <formula2>0</formula2>
    </dataValidation>
    <dataValidation allowBlank="true" errorStyle="stop" operator="between" showDropDown="false" showErrorMessage="false" showInputMessage="false" sqref="D4:D500" type="list">
      <formula1>"Purolator,Canada Post,UPS,FedEx,DHL,Canpar,Day &amp; Ross,TBD"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T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45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10" min="9" style="1" width="18"/>
    <col collapsed="false" customWidth="true" hidden="false" outlineLevel="0" max="11" min="11" style="1" width="10"/>
    <col collapsed="false" customWidth="true" hidden="false" outlineLevel="0" max="12" min="12" style="1" width="20"/>
    <col collapsed="false" customWidth="true" hidden="false" outlineLevel="0" max="13" min="13" style="1" width="8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7" min="16" style="1" width="12"/>
    <col collapsed="false" customWidth="true" hidden="false" outlineLevel="0" max="18" min="18" style="1" width="14"/>
    <col collapsed="false" customWidth="true" hidden="false" outlineLevel="0" max="19" min="19" style="1" width="12"/>
    <col collapsed="false" customWidth="true" hidden="false" outlineLevel="0" max="20" min="20" style="1" width="22"/>
  </cols>
  <sheetData>
    <row r="1" customFormat="false" ht="30" hidden="false" customHeight="true" outlineLevel="0" collapsed="false">
      <c r="A1" s="2" t="s">
        <v>907</v>
      </c>
    </row>
    <row r="2" customFormat="false" ht="15" hidden="false" customHeight="true" outlineLevel="0" collapsed="false">
      <c r="A2" s="3" t="s">
        <v>908</v>
      </c>
    </row>
    <row r="3" customFormat="false" ht="26.25" hidden="false" customHeight="true" outlineLevel="0" collapsed="false">
      <c r="A3" s="4" t="s">
        <v>290</v>
      </c>
      <c r="B3" s="4" t="s">
        <v>291</v>
      </c>
      <c r="C3" s="4" t="s">
        <v>292</v>
      </c>
      <c r="D3" s="4" t="s">
        <v>909</v>
      </c>
      <c r="E3" s="4" t="s">
        <v>910</v>
      </c>
      <c r="F3" s="4" t="s">
        <v>78</v>
      </c>
      <c r="G3" s="4" t="s">
        <v>911</v>
      </c>
      <c r="H3" s="4" t="s">
        <v>912</v>
      </c>
      <c r="I3" s="4" t="s">
        <v>913</v>
      </c>
      <c r="J3" s="4" t="s">
        <v>914</v>
      </c>
      <c r="K3" s="4" t="s">
        <v>775</v>
      </c>
      <c r="L3" s="4" t="s">
        <v>776</v>
      </c>
      <c r="M3" s="4" t="s">
        <v>474</v>
      </c>
      <c r="N3" s="4" t="s">
        <v>343</v>
      </c>
      <c r="O3" s="4" t="s">
        <v>915</v>
      </c>
      <c r="P3" s="4" t="s">
        <v>298</v>
      </c>
      <c r="Q3" s="4" t="s">
        <v>306</v>
      </c>
      <c r="R3" s="4" t="s">
        <v>305</v>
      </c>
      <c r="S3" s="4" t="s">
        <v>916</v>
      </c>
      <c r="T3" s="4" t="s">
        <v>917</v>
      </c>
    </row>
    <row r="4" customFormat="false" ht="15" hidden="false" customHeight="true" outlineLevel="0" collapsed="false">
      <c r="A4" s="5" t="s">
        <v>310</v>
      </c>
      <c r="B4" s="5" t="s">
        <v>311</v>
      </c>
      <c r="C4" s="5" t="s">
        <v>312</v>
      </c>
      <c r="D4" s="5" t="s">
        <v>918</v>
      </c>
      <c r="E4" s="5" t="n">
        <v>490</v>
      </c>
      <c r="F4" s="5" t="s">
        <v>115</v>
      </c>
      <c r="G4" s="5" t="n">
        <v>43.95</v>
      </c>
      <c r="H4" s="17" t="n">
        <f aca="false">(E4-G4)/E4</f>
        <v>0.91030612244898</v>
      </c>
      <c r="I4" s="5" t="s">
        <v>919</v>
      </c>
      <c r="J4" s="5" t="s">
        <v>920</v>
      </c>
      <c r="K4" s="5" t="n">
        <v>0.45</v>
      </c>
      <c r="L4" s="5" t="s">
        <v>921</v>
      </c>
      <c r="M4" s="5" t="s">
        <v>922</v>
      </c>
      <c r="N4" s="5" t="s">
        <v>923</v>
      </c>
      <c r="O4" s="5" t="s">
        <v>410</v>
      </c>
      <c r="P4" s="6" t="n">
        <v>25</v>
      </c>
      <c r="Q4" s="6" t="n">
        <v>50</v>
      </c>
      <c r="R4" s="6" t="n">
        <v>14</v>
      </c>
      <c r="S4" s="6" t="n">
        <v>10</v>
      </c>
      <c r="T4" s="6" t="s">
        <v>411</v>
      </c>
    </row>
    <row r="5" customFormat="false" ht="15" hidden="false" customHeight="true" outlineLevel="0" collapsed="false">
      <c r="A5" s="5" t="s">
        <v>316</v>
      </c>
      <c r="B5" s="5" t="s">
        <v>317</v>
      </c>
      <c r="C5" s="5" t="s">
        <v>318</v>
      </c>
      <c r="D5" s="5" t="s">
        <v>924</v>
      </c>
      <c r="E5" s="5" t="n">
        <v>65</v>
      </c>
      <c r="F5" s="5" t="s">
        <v>115</v>
      </c>
      <c r="G5" s="5" t="n">
        <v>32</v>
      </c>
      <c r="H5" s="17" t="n">
        <f aca="false">(E5-G5)/E5</f>
        <v>0.507692307692308</v>
      </c>
      <c r="I5" s="5" t="s">
        <v>925</v>
      </c>
      <c r="J5" s="5" t="s">
        <v>926</v>
      </c>
      <c r="K5" s="5" t="n">
        <v>0.08</v>
      </c>
      <c r="L5" s="5" t="s">
        <v>927</v>
      </c>
      <c r="M5" s="5" t="s">
        <v>922</v>
      </c>
      <c r="N5" s="5" t="s">
        <v>923</v>
      </c>
      <c r="O5" s="5" t="s">
        <v>928</v>
      </c>
      <c r="P5" s="6" t="n">
        <v>50</v>
      </c>
      <c r="Q5" s="6" t="n">
        <v>100</v>
      </c>
      <c r="R5" s="6" t="n">
        <v>10</v>
      </c>
      <c r="S5" s="6" t="n">
        <v>25</v>
      </c>
      <c r="T5" s="6" t="s">
        <v>411</v>
      </c>
    </row>
    <row r="6" customFormat="false" ht="15" hidden="false" customHeight="true" outlineLevel="0" collapsed="false">
      <c r="A6" s="5" t="s">
        <v>321</v>
      </c>
      <c r="B6" s="5" t="s">
        <v>322</v>
      </c>
      <c r="C6" s="5" t="s">
        <v>323</v>
      </c>
      <c r="D6" s="5" t="s">
        <v>929</v>
      </c>
      <c r="E6" s="5" t="n">
        <v>890</v>
      </c>
      <c r="F6" s="5" t="s">
        <v>115</v>
      </c>
      <c r="G6" s="5" t="n">
        <v>58.7</v>
      </c>
      <c r="H6" s="17" t="n">
        <f aca="false">(E6-G6)/E6</f>
        <v>0.934044943820225</v>
      </c>
      <c r="I6" s="5" t="s">
        <v>930</v>
      </c>
      <c r="J6" s="5" t="s">
        <v>931</v>
      </c>
      <c r="K6" s="5" t="n">
        <v>0.35</v>
      </c>
      <c r="L6" s="5" t="s">
        <v>932</v>
      </c>
      <c r="M6" s="5" t="s">
        <v>922</v>
      </c>
      <c r="N6" s="5" t="s">
        <v>933</v>
      </c>
      <c r="O6" s="5" t="s">
        <v>541</v>
      </c>
      <c r="P6" s="6" t="n">
        <v>30</v>
      </c>
      <c r="Q6" s="6" t="n">
        <v>30</v>
      </c>
      <c r="R6" s="6" t="n">
        <v>21</v>
      </c>
      <c r="S6" s="6" t="n">
        <v>5</v>
      </c>
      <c r="T6" s="6" t="s">
        <v>421</v>
      </c>
    </row>
    <row r="7" customFormat="false" ht="15" hidden="false" customHeight="true" outlineLevel="0" collapsed="false">
      <c r="A7" s="5" t="s">
        <v>327</v>
      </c>
      <c r="B7" s="5" t="s">
        <v>328</v>
      </c>
      <c r="C7" s="5" t="s">
        <v>329</v>
      </c>
      <c r="D7" s="5" t="s">
        <v>934</v>
      </c>
      <c r="E7" s="5" t="n">
        <v>650</v>
      </c>
      <c r="F7" s="5" t="s">
        <v>115</v>
      </c>
      <c r="G7" s="5" t="n">
        <v>95</v>
      </c>
      <c r="H7" s="17" t="n">
        <f aca="false">(E7-G7)/E7</f>
        <v>0.853846153846154</v>
      </c>
      <c r="I7" s="5" t="s">
        <v>935</v>
      </c>
      <c r="J7" s="5" t="s">
        <v>936</v>
      </c>
      <c r="K7" s="5" t="n">
        <v>0.95</v>
      </c>
      <c r="L7" s="5" t="s">
        <v>937</v>
      </c>
      <c r="M7" s="5" t="s">
        <v>922</v>
      </c>
      <c r="N7" s="5" t="s">
        <v>938</v>
      </c>
      <c r="O7" s="5" t="s">
        <v>376</v>
      </c>
      <c r="P7" s="6" t="n">
        <v>20</v>
      </c>
      <c r="Q7" s="6" t="n">
        <v>25</v>
      </c>
      <c r="R7" s="6" t="n">
        <v>18</v>
      </c>
      <c r="S7" s="6" t="n">
        <v>5</v>
      </c>
      <c r="T7" s="6" t="s">
        <v>939</v>
      </c>
    </row>
    <row r="8" customFormat="false" ht="15" hidden="false" customHeight="true" outlineLevel="0" collapsed="false">
      <c r="A8" s="5" t="s">
        <v>334</v>
      </c>
      <c r="B8" s="5" t="s">
        <v>335</v>
      </c>
      <c r="C8" s="5" t="s">
        <v>336</v>
      </c>
      <c r="D8" s="5" t="s">
        <v>940</v>
      </c>
      <c r="E8" s="5" t="n">
        <v>280</v>
      </c>
      <c r="F8" s="5" t="s">
        <v>115</v>
      </c>
      <c r="G8" s="5" t="n">
        <v>68</v>
      </c>
      <c r="H8" s="17" t="n">
        <f aca="false">(E8-G8)/E8</f>
        <v>0.757142857142857</v>
      </c>
      <c r="I8" s="5" t="s">
        <v>941</v>
      </c>
      <c r="J8" s="5" t="s">
        <v>942</v>
      </c>
      <c r="K8" s="5" t="n">
        <v>0.18</v>
      </c>
      <c r="L8" s="5" t="s">
        <v>943</v>
      </c>
      <c r="M8" s="5" t="s">
        <v>922</v>
      </c>
      <c r="N8" s="5" t="s">
        <v>944</v>
      </c>
      <c r="O8" s="5" t="s">
        <v>90</v>
      </c>
      <c r="P8" s="6" t="n">
        <v>25</v>
      </c>
      <c r="Q8" s="6" t="n">
        <v>50</v>
      </c>
      <c r="R8" s="6" t="n">
        <v>12</v>
      </c>
      <c r="S8" s="6" t="n">
        <v>10</v>
      </c>
      <c r="T8" s="6" t="s">
        <v>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O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7" min="6" style="1" width="28"/>
    <col collapsed="false" customWidth="true" hidden="false" outlineLevel="0" max="8" min="8" style="1" width="16"/>
    <col collapsed="false" customWidth="true" hidden="false" outlineLevel="0" max="9" min="9" style="1" width="18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4" min="12" style="1" width="14"/>
    <col collapsed="false" customWidth="true" hidden="false" outlineLevel="0" max="15" min="15" style="1" width="25"/>
  </cols>
  <sheetData>
    <row r="1" customFormat="false" ht="30" hidden="false" customHeight="true" outlineLevel="0" collapsed="false">
      <c r="A1" s="2" t="s">
        <v>945</v>
      </c>
    </row>
    <row r="2" customFormat="false" ht="15" hidden="false" customHeight="true" outlineLevel="0" collapsed="false">
      <c r="A2" s="3" t="s">
        <v>946</v>
      </c>
    </row>
    <row r="3" customFormat="false" ht="26.25" hidden="false" customHeight="true" outlineLevel="0" collapsed="false">
      <c r="A3" s="4" t="s">
        <v>947</v>
      </c>
      <c r="B3" s="4" t="s">
        <v>948</v>
      </c>
      <c r="C3" s="4" t="s">
        <v>949</v>
      </c>
      <c r="D3" s="4" t="s">
        <v>950</v>
      </c>
      <c r="E3" s="4" t="s">
        <v>951</v>
      </c>
      <c r="F3" s="4" t="s">
        <v>952</v>
      </c>
      <c r="G3" s="4" t="s">
        <v>953</v>
      </c>
      <c r="H3" s="4" t="s">
        <v>954</v>
      </c>
      <c r="I3" s="4" t="s">
        <v>955</v>
      </c>
      <c r="J3" s="4" t="s">
        <v>71</v>
      </c>
      <c r="K3" s="4" t="s">
        <v>956</v>
      </c>
      <c r="L3" s="4" t="s">
        <v>957</v>
      </c>
      <c r="M3" s="4" t="s">
        <v>958</v>
      </c>
      <c r="N3" s="4" t="s">
        <v>402</v>
      </c>
      <c r="O3" s="4" t="s">
        <v>49</v>
      </c>
    </row>
    <row r="4" customFormat="false" ht="15" hidden="false" customHeight="true" outlineLevel="0" collapsed="false">
      <c r="A4" s="9" t="s">
        <v>959</v>
      </c>
      <c r="B4" s="9"/>
      <c r="C4" s="9" t="s">
        <v>92</v>
      </c>
      <c r="D4" s="9"/>
      <c r="E4" s="9"/>
      <c r="F4" s="9" t="s">
        <v>960</v>
      </c>
      <c r="G4" s="9" t="s">
        <v>960</v>
      </c>
      <c r="H4" s="9" t="s">
        <v>961</v>
      </c>
      <c r="I4" s="9"/>
      <c r="J4" s="9" t="s">
        <v>91</v>
      </c>
      <c r="K4" s="9" t="n">
        <v>1</v>
      </c>
      <c r="L4" s="9" t="n">
        <v>1037.27</v>
      </c>
      <c r="M4" s="9" t="s">
        <v>90</v>
      </c>
      <c r="N4" s="9"/>
      <c r="O4" s="9" t="s">
        <v>962</v>
      </c>
    </row>
    <row r="5" customFormat="false" ht="15" hidden="false" customHeight="true" outlineLevel="0" collapsed="false">
      <c r="A5" s="9" t="s">
        <v>963</v>
      </c>
      <c r="B5" s="9"/>
      <c r="C5" s="9" t="s">
        <v>100</v>
      </c>
      <c r="D5" s="9"/>
      <c r="E5" s="9"/>
      <c r="F5" s="9" t="s">
        <v>964</v>
      </c>
      <c r="G5" s="9" t="s">
        <v>964</v>
      </c>
      <c r="H5" s="9" t="s">
        <v>965</v>
      </c>
      <c r="I5" s="9"/>
      <c r="J5" s="9" t="s">
        <v>91</v>
      </c>
      <c r="K5" s="9" t="n">
        <v>1</v>
      </c>
      <c r="L5" s="9" t="n">
        <v>1016.36</v>
      </c>
      <c r="M5" s="9" t="s">
        <v>90</v>
      </c>
      <c r="N5" s="9"/>
      <c r="O5" s="9" t="s">
        <v>966</v>
      </c>
    </row>
    <row r="6" customFormat="false" ht="15" hidden="false" customHeight="true" outlineLevel="0" collapsed="false">
      <c r="A6" s="9" t="s">
        <v>967</v>
      </c>
      <c r="B6" s="9"/>
      <c r="C6" s="9" t="s">
        <v>968</v>
      </c>
      <c r="D6" s="9" t="s">
        <v>969</v>
      </c>
      <c r="E6" s="9" t="s">
        <v>509</v>
      </c>
      <c r="F6" s="9"/>
      <c r="G6" s="9"/>
      <c r="H6" s="9" t="s">
        <v>970</v>
      </c>
      <c r="I6" s="9"/>
      <c r="J6" s="9" t="s">
        <v>91</v>
      </c>
      <c r="K6" s="9" t="n">
        <v>0</v>
      </c>
      <c r="L6" s="9" t="n">
        <v>0</v>
      </c>
      <c r="M6" s="9"/>
      <c r="N6" s="9"/>
      <c r="O6" s="9" t="s">
        <v>966</v>
      </c>
    </row>
    <row r="7" customFormat="false" ht="15" hidden="false" customHeight="true" outlineLevel="0" collapsed="false">
      <c r="A7" s="9" t="s">
        <v>971</v>
      </c>
      <c r="B7" s="9"/>
      <c r="C7" s="9" t="s">
        <v>972</v>
      </c>
      <c r="D7" s="9"/>
      <c r="E7" s="9"/>
      <c r="F7" s="9"/>
      <c r="G7" s="9"/>
      <c r="H7" s="9" t="s">
        <v>973</v>
      </c>
      <c r="I7" s="9"/>
      <c r="J7" s="9" t="s">
        <v>91</v>
      </c>
      <c r="K7" s="9" t="n">
        <v>0</v>
      </c>
      <c r="L7" s="9" t="n">
        <v>0</v>
      </c>
      <c r="M7" s="9"/>
      <c r="N7" s="9"/>
      <c r="O7" s="9" t="s">
        <v>966</v>
      </c>
    </row>
    <row r="8" customFormat="false" ht="15" hidden="false" customHeight="true" outlineLevel="0" collapsed="false">
      <c r="A8" s="9" t="s">
        <v>974</v>
      </c>
      <c r="B8" s="9"/>
      <c r="C8" s="9" t="s">
        <v>103</v>
      </c>
      <c r="D8" s="9"/>
      <c r="E8" s="9"/>
      <c r="F8" s="9" t="s">
        <v>975</v>
      </c>
      <c r="G8" s="9" t="s">
        <v>975</v>
      </c>
      <c r="H8" s="9" t="s">
        <v>976</v>
      </c>
      <c r="I8" s="9"/>
      <c r="J8" s="9" t="s">
        <v>91</v>
      </c>
      <c r="K8" s="9" t="n">
        <v>1</v>
      </c>
      <c r="L8" s="9" t="n">
        <v>1016.08</v>
      </c>
      <c r="M8" s="9" t="s">
        <v>102</v>
      </c>
      <c r="N8" s="9"/>
      <c r="O8" s="9" t="s">
        <v>966</v>
      </c>
    </row>
    <row r="9" customFormat="false" ht="15" hidden="false" customHeight="true" outlineLevel="0" collapsed="false">
      <c r="A9" s="9" t="s">
        <v>977</v>
      </c>
      <c r="B9" s="9"/>
      <c r="C9" s="9" t="s">
        <v>105</v>
      </c>
      <c r="D9" s="9"/>
      <c r="E9" s="9"/>
      <c r="F9" s="9" t="s">
        <v>978</v>
      </c>
      <c r="G9" s="9" t="s">
        <v>978</v>
      </c>
      <c r="H9" s="9" t="s">
        <v>979</v>
      </c>
      <c r="I9" s="9"/>
      <c r="J9" s="9" t="s">
        <v>91</v>
      </c>
      <c r="K9" s="9" t="n">
        <v>1</v>
      </c>
      <c r="L9" s="9" t="n">
        <v>985.23</v>
      </c>
      <c r="M9" s="9" t="s">
        <v>102</v>
      </c>
      <c r="N9" s="9"/>
      <c r="O9" s="9" t="s">
        <v>966</v>
      </c>
    </row>
    <row r="10" customFormat="false" ht="15" hidden="false" customHeight="true" outlineLevel="0" collapsed="false">
      <c r="A10" s="9" t="s">
        <v>980</v>
      </c>
      <c r="B10" s="9"/>
      <c r="C10" s="9" t="s">
        <v>981</v>
      </c>
      <c r="D10" s="9"/>
      <c r="E10" s="9"/>
      <c r="F10" s="9"/>
      <c r="G10" s="9"/>
      <c r="H10" s="9" t="s">
        <v>982</v>
      </c>
      <c r="I10" s="9"/>
      <c r="J10" s="9" t="s">
        <v>91</v>
      </c>
      <c r="K10" s="9" t="n">
        <v>0</v>
      </c>
      <c r="L10" s="9" t="n">
        <v>0</v>
      </c>
      <c r="M10" s="9"/>
      <c r="N10" s="9"/>
      <c r="O10" s="9" t="s">
        <v>966</v>
      </c>
    </row>
    <row r="11" customFormat="false" ht="15" hidden="false" customHeight="true" outlineLevel="0" collapsed="false">
      <c r="A11" s="9" t="s">
        <v>983</v>
      </c>
      <c r="B11" s="9"/>
      <c r="C11" s="9" t="s">
        <v>124</v>
      </c>
      <c r="D11" s="9" t="s">
        <v>125</v>
      </c>
      <c r="E11" s="9" t="s">
        <v>846</v>
      </c>
      <c r="F11" s="9"/>
      <c r="G11" s="9"/>
      <c r="H11" s="9" t="s">
        <v>984</v>
      </c>
      <c r="I11" s="9"/>
      <c r="J11" s="9" t="s">
        <v>91</v>
      </c>
      <c r="K11" s="9" t="n">
        <v>1</v>
      </c>
      <c r="L11" s="9" t="n">
        <v>42.38</v>
      </c>
      <c r="M11" s="9" t="s">
        <v>123</v>
      </c>
      <c r="N11" s="9"/>
      <c r="O11" s="9" t="s">
        <v>966</v>
      </c>
    </row>
    <row r="12" customFormat="false" ht="15" hidden="false" customHeight="true" outlineLevel="0" collapsed="false">
      <c r="A12" s="9" t="s">
        <v>985</v>
      </c>
      <c r="B12" s="9"/>
      <c r="C12" s="9" t="s">
        <v>108</v>
      </c>
      <c r="D12" s="9" t="s">
        <v>109</v>
      </c>
      <c r="E12" s="9" t="s">
        <v>906</v>
      </c>
      <c r="F12" s="9" t="s">
        <v>986</v>
      </c>
      <c r="G12" s="9" t="s">
        <v>986</v>
      </c>
      <c r="H12" s="9" t="s">
        <v>987</v>
      </c>
      <c r="I12" s="9"/>
      <c r="J12" s="9" t="s">
        <v>91</v>
      </c>
      <c r="K12" s="9" t="n">
        <v>1</v>
      </c>
      <c r="L12" s="9" t="n">
        <v>1043.06</v>
      </c>
      <c r="M12" s="9" t="s">
        <v>107</v>
      </c>
      <c r="N12" s="9"/>
      <c r="O12" s="9" t="s">
        <v>966</v>
      </c>
    </row>
    <row r="13" customFormat="false" ht="15" hidden="false" customHeight="true" outlineLevel="0" collapsed="false">
      <c r="A13" s="9" t="s">
        <v>988</v>
      </c>
      <c r="B13" s="9"/>
      <c r="C13" s="9" t="s">
        <v>111</v>
      </c>
      <c r="D13" s="9"/>
      <c r="E13" s="9"/>
      <c r="F13" s="9"/>
      <c r="G13" s="9"/>
      <c r="H13" s="9" t="s">
        <v>989</v>
      </c>
      <c r="I13" s="9"/>
      <c r="J13" s="9" t="s">
        <v>91</v>
      </c>
      <c r="K13" s="9" t="n">
        <v>4</v>
      </c>
      <c r="L13" s="9" t="n">
        <v>0</v>
      </c>
      <c r="M13" s="9" t="s">
        <v>107</v>
      </c>
      <c r="N13" s="9"/>
      <c r="O13" s="9" t="s">
        <v>966</v>
      </c>
    </row>
    <row r="14" customFormat="false" ht="15" hidden="false" customHeight="true" outlineLevel="0" collapsed="false">
      <c r="A14" s="9" t="s">
        <v>990</v>
      </c>
      <c r="B14" s="9"/>
      <c r="C14" s="9" t="s">
        <v>119</v>
      </c>
      <c r="D14" s="9" t="s">
        <v>120</v>
      </c>
      <c r="E14" s="9" t="s">
        <v>903</v>
      </c>
      <c r="F14" s="9" t="s">
        <v>991</v>
      </c>
      <c r="G14" s="9" t="s">
        <v>991</v>
      </c>
      <c r="H14" s="9" t="s">
        <v>992</v>
      </c>
      <c r="I14" s="9"/>
      <c r="J14" s="9" t="s">
        <v>91</v>
      </c>
      <c r="K14" s="9" t="n">
        <v>1</v>
      </c>
      <c r="L14" s="9" t="n">
        <v>1302.95</v>
      </c>
      <c r="M14" s="9" t="s">
        <v>118</v>
      </c>
      <c r="N14" s="9"/>
      <c r="O14" s="9" t="s">
        <v>966</v>
      </c>
    </row>
    <row r="15" customFormat="false" ht="15" hidden="false" customHeight="true" outlineLevel="0" collapsed="false">
      <c r="A15" s="9" t="s">
        <v>993</v>
      </c>
      <c r="B15" s="9"/>
      <c r="C15" s="9" t="s">
        <v>128</v>
      </c>
      <c r="D15" s="9"/>
      <c r="E15" s="9"/>
      <c r="F15" s="9"/>
      <c r="G15" s="9"/>
      <c r="H15" s="9" t="s">
        <v>994</v>
      </c>
      <c r="I15" s="9"/>
      <c r="J15" s="9" t="s">
        <v>91</v>
      </c>
      <c r="K15" s="9" t="n">
        <v>2</v>
      </c>
      <c r="L15" s="9" t="n">
        <v>87.48</v>
      </c>
      <c r="M15" s="9" t="s">
        <v>123</v>
      </c>
      <c r="N15" s="9"/>
      <c r="O15" s="9" t="s">
        <v>966</v>
      </c>
    </row>
    <row r="16" customFormat="false" ht="15" hidden="false" customHeight="true" outlineLevel="0" collapsed="false">
      <c r="A16" s="9" t="s">
        <v>995</v>
      </c>
      <c r="B16" s="9"/>
      <c r="C16" s="9" t="s">
        <v>133</v>
      </c>
      <c r="D16" s="9"/>
      <c r="E16" s="9"/>
      <c r="F16" s="9"/>
      <c r="G16" s="9"/>
      <c r="H16" s="9" t="s">
        <v>996</v>
      </c>
      <c r="I16" s="9"/>
      <c r="J16" s="9" t="s">
        <v>91</v>
      </c>
      <c r="K16" s="9" t="n">
        <v>2</v>
      </c>
      <c r="L16" s="9" t="n">
        <v>262.5</v>
      </c>
      <c r="M16" s="9" t="s">
        <v>131</v>
      </c>
      <c r="N16" s="9"/>
      <c r="O16" s="9" t="s">
        <v>966</v>
      </c>
    </row>
    <row r="17" customFormat="false" ht="15" hidden="false" customHeight="true" outlineLevel="0" collapsed="false">
      <c r="A17" s="9" t="s">
        <v>997</v>
      </c>
      <c r="B17" s="9"/>
      <c r="C17" s="9" t="s">
        <v>136</v>
      </c>
      <c r="D17" s="9" t="s">
        <v>137</v>
      </c>
      <c r="E17" s="9" t="s">
        <v>900</v>
      </c>
      <c r="F17" s="9" t="s">
        <v>998</v>
      </c>
      <c r="G17" s="9" t="s">
        <v>998</v>
      </c>
      <c r="H17" s="9" t="s">
        <v>999</v>
      </c>
      <c r="I17" s="9"/>
      <c r="J17" s="9" t="s">
        <v>91</v>
      </c>
      <c r="K17" s="9" t="n">
        <v>1</v>
      </c>
      <c r="L17" s="9" t="n">
        <v>1351.87</v>
      </c>
      <c r="M17" s="9" t="s">
        <v>135</v>
      </c>
      <c r="N17" s="9"/>
      <c r="O17" s="9" t="s">
        <v>966</v>
      </c>
    </row>
    <row r="18" customFormat="false" ht="15" hidden="false" customHeight="true" outlineLevel="0" collapsed="false">
      <c r="A18" s="9" t="s">
        <v>1000</v>
      </c>
      <c r="B18" s="9"/>
      <c r="C18" s="9" t="s">
        <v>140</v>
      </c>
      <c r="D18" s="9" t="s">
        <v>141</v>
      </c>
      <c r="E18" s="9" t="s">
        <v>843</v>
      </c>
      <c r="F18" s="9" t="s">
        <v>1001</v>
      </c>
      <c r="G18" s="9" t="s">
        <v>1001</v>
      </c>
      <c r="H18" s="9" t="s">
        <v>1002</v>
      </c>
      <c r="I18" s="9"/>
      <c r="J18" s="9" t="s">
        <v>91</v>
      </c>
      <c r="K18" s="9" t="n">
        <v>1</v>
      </c>
      <c r="L18" s="9" t="n">
        <v>127.13</v>
      </c>
      <c r="M18" s="9" t="s">
        <v>139</v>
      </c>
      <c r="N18" s="9"/>
      <c r="O18" s="9" t="s">
        <v>966</v>
      </c>
    </row>
    <row r="19" customFormat="false" ht="15" hidden="false" customHeight="true" outlineLevel="0" collapsed="false">
      <c r="A19" s="9" t="s">
        <v>1003</v>
      </c>
      <c r="B19" s="9"/>
      <c r="C19" s="9" t="s">
        <v>143</v>
      </c>
      <c r="D19" s="9" t="s">
        <v>144</v>
      </c>
      <c r="E19" s="9" t="s">
        <v>897</v>
      </c>
      <c r="F19" s="9" t="s">
        <v>1004</v>
      </c>
      <c r="G19" s="9" t="s">
        <v>1004</v>
      </c>
      <c r="H19" s="9" t="s">
        <v>1005</v>
      </c>
      <c r="I19" s="9"/>
      <c r="J19" s="9" t="s">
        <v>91</v>
      </c>
      <c r="K19" s="9" t="n">
        <v>1</v>
      </c>
      <c r="L19" s="9" t="n">
        <v>1372.36</v>
      </c>
      <c r="M19" s="9" t="s">
        <v>139</v>
      </c>
      <c r="N19" s="9"/>
      <c r="O19" s="9" t="s">
        <v>966</v>
      </c>
    </row>
    <row r="20" customFormat="false" ht="15" hidden="false" customHeight="true" outlineLevel="0" collapsed="false">
      <c r="A20" s="9" t="s">
        <v>1006</v>
      </c>
      <c r="B20" s="9"/>
      <c r="C20" s="9" t="s">
        <v>146</v>
      </c>
      <c r="D20" s="9" t="s">
        <v>147</v>
      </c>
      <c r="E20" s="9" t="s">
        <v>840</v>
      </c>
      <c r="F20" s="9" t="s">
        <v>1007</v>
      </c>
      <c r="G20" s="9" t="s">
        <v>1007</v>
      </c>
      <c r="H20" s="9" t="s">
        <v>1008</v>
      </c>
      <c r="I20" s="9"/>
      <c r="J20" s="9" t="s">
        <v>91</v>
      </c>
      <c r="K20" s="9" t="n">
        <v>1</v>
      </c>
      <c r="L20" s="9" t="n">
        <v>19.95</v>
      </c>
      <c r="M20" s="9" t="s">
        <v>139</v>
      </c>
      <c r="N20" s="9"/>
      <c r="O20" s="9" t="s">
        <v>966</v>
      </c>
    </row>
    <row r="21" customFormat="false" ht="15" hidden="false" customHeight="true" outlineLevel="0" collapsed="false">
      <c r="A21" s="9" t="s">
        <v>1009</v>
      </c>
      <c r="B21" s="9"/>
      <c r="C21" s="9" t="s">
        <v>150</v>
      </c>
      <c r="D21" s="9" t="s">
        <v>151</v>
      </c>
      <c r="E21" s="9" t="s">
        <v>894</v>
      </c>
      <c r="F21" s="9" t="s">
        <v>1010</v>
      </c>
      <c r="G21" s="9" t="s">
        <v>1010</v>
      </c>
      <c r="H21" s="9" t="s">
        <v>1011</v>
      </c>
      <c r="I21" s="9"/>
      <c r="J21" s="9" t="s">
        <v>91</v>
      </c>
      <c r="K21" s="9" t="n">
        <v>1</v>
      </c>
      <c r="L21" s="9" t="n">
        <v>1372.36</v>
      </c>
      <c r="M21" s="9" t="s">
        <v>149</v>
      </c>
      <c r="N21" s="9"/>
      <c r="O21" s="9" t="s">
        <v>966</v>
      </c>
    </row>
    <row r="22" customFormat="false" ht="15" hidden="false" customHeight="true" outlineLevel="0" collapsed="false">
      <c r="A22" s="9" t="s">
        <v>1012</v>
      </c>
      <c r="B22" s="9"/>
      <c r="C22" s="9" t="s">
        <v>154</v>
      </c>
      <c r="D22" s="9"/>
      <c r="E22" s="9"/>
      <c r="F22" s="9" t="s">
        <v>1013</v>
      </c>
      <c r="G22" s="9" t="s">
        <v>1013</v>
      </c>
      <c r="H22" s="9" t="s">
        <v>1014</v>
      </c>
      <c r="I22" s="9"/>
      <c r="J22" s="9" t="s">
        <v>91</v>
      </c>
      <c r="K22" s="9" t="n">
        <v>1</v>
      </c>
      <c r="L22" s="9" t="n">
        <v>1502.89</v>
      </c>
      <c r="M22" s="9" t="s">
        <v>153</v>
      </c>
      <c r="N22" s="9"/>
      <c r="O22" s="9" t="s">
        <v>966</v>
      </c>
    </row>
    <row r="23" customFormat="false" ht="15" hidden="false" customHeight="true" outlineLevel="0" collapsed="false">
      <c r="A23" s="9" t="s">
        <v>1015</v>
      </c>
      <c r="B23" s="9"/>
      <c r="C23" s="9" t="s">
        <v>157</v>
      </c>
      <c r="D23" s="9" t="s">
        <v>158</v>
      </c>
      <c r="E23" s="9" t="s">
        <v>752</v>
      </c>
      <c r="F23" s="9" t="s">
        <v>1016</v>
      </c>
      <c r="G23" s="9" t="s">
        <v>1016</v>
      </c>
      <c r="H23" s="9" t="s">
        <v>1017</v>
      </c>
      <c r="I23" s="9"/>
      <c r="J23" s="9" t="s">
        <v>91</v>
      </c>
      <c r="K23" s="9" t="n">
        <v>1</v>
      </c>
      <c r="L23" s="9" t="n">
        <v>1396.49</v>
      </c>
      <c r="M23" s="9" t="s">
        <v>156</v>
      </c>
      <c r="N23" s="9"/>
      <c r="O23" s="9" t="s">
        <v>966</v>
      </c>
    </row>
    <row r="24" customFormat="false" ht="15" hidden="false" customHeight="true" outlineLevel="0" collapsed="false">
      <c r="A24" s="9" t="s">
        <v>1018</v>
      </c>
      <c r="B24" s="9"/>
      <c r="C24" s="9" t="s">
        <v>161</v>
      </c>
      <c r="D24" s="9" t="s">
        <v>162</v>
      </c>
      <c r="E24" s="9" t="s">
        <v>891</v>
      </c>
      <c r="F24" s="9" t="s">
        <v>1019</v>
      </c>
      <c r="G24" s="9" t="s">
        <v>1019</v>
      </c>
      <c r="H24" s="9" t="s">
        <v>1020</v>
      </c>
      <c r="I24" s="9"/>
      <c r="J24" s="9" t="s">
        <v>91</v>
      </c>
      <c r="K24" s="9" t="n">
        <v>1</v>
      </c>
      <c r="L24" s="9" t="n">
        <v>1346.46</v>
      </c>
      <c r="M24" s="9" t="s">
        <v>160</v>
      </c>
      <c r="N24" s="9"/>
      <c r="O24" s="9" t="s">
        <v>966</v>
      </c>
    </row>
    <row r="25" customFormat="false" ht="15" hidden="false" customHeight="true" outlineLevel="0" collapsed="false">
      <c r="A25" s="9" t="s">
        <v>1021</v>
      </c>
      <c r="B25" s="9"/>
      <c r="C25" s="9" t="s">
        <v>164</v>
      </c>
      <c r="D25" s="9" t="s">
        <v>165</v>
      </c>
      <c r="E25" s="9" t="s">
        <v>530</v>
      </c>
      <c r="F25" s="9" t="s">
        <v>1022</v>
      </c>
      <c r="G25" s="9" t="s">
        <v>1022</v>
      </c>
      <c r="H25" s="9" t="s">
        <v>1023</v>
      </c>
      <c r="I25" s="9"/>
      <c r="J25" s="9" t="s">
        <v>91</v>
      </c>
      <c r="K25" s="9" t="n">
        <v>1</v>
      </c>
      <c r="L25" s="9" t="n">
        <v>19.78</v>
      </c>
      <c r="M25" s="9" t="s">
        <v>160</v>
      </c>
      <c r="N25" s="9"/>
      <c r="O25" s="9" t="s">
        <v>966</v>
      </c>
    </row>
    <row r="26" customFormat="false" ht="15" hidden="false" customHeight="true" outlineLevel="0" collapsed="false">
      <c r="A26" s="9" t="s">
        <v>1024</v>
      </c>
      <c r="B26" s="9"/>
      <c r="C26" s="9" t="s">
        <v>170</v>
      </c>
      <c r="D26" s="9" t="s">
        <v>171</v>
      </c>
      <c r="E26" s="9" t="s">
        <v>888</v>
      </c>
      <c r="F26" s="9" t="s">
        <v>1025</v>
      </c>
      <c r="G26" s="9" t="s">
        <v>1025</v>
      </c>
      <c r="H26" s="9" t="s">
        <v>1026</v>
      </c>
      <c r="I26" s="9"/>
      <c r="J26" s="9" t="s">
        <v>91</v>
      </c>
      <c r="K26" s="9" t="n">
        <v>1</v>
      </c>
      <c r="L26" s="9" t="n">
        <v>1351.17</v>
      </c>
      <c r="M26" s="9" t="s">
        <v>169</v>
      </c>
      <c r="N26" s="9"/>
      <c r="O26" s="9" t="s">
        <v>966</v>
      </c>
    </row>
    <row r="27" customFormat="false" ht="15" hidden="false" customHeight="true" outlineLevel="0" collapsed="false">
      <c r="A27" s="9" t="s">
        <v>1027</v>
      </c>
      <c r="B27" s="9"/>
      <c r="C27" s="9" t="s">
        <v>174</v>
      </c>
      <c r="D27" s="9"/>
      <c r="E27" s="9"/>
      <c r="F27" s="9"/>
      <c r="G27" s="9"/>
      <c r="H27" s="9" t="s">
        <v>1028</v>
      </c>
      <c r="I27" s="9"/>
      <c r="J27" s="9" t="s">
        <v>91</v>
      </c>
      <c r="K27" s="9" t="n">
        <v>1</v>
      </c>
      <c r="L27" s="9" t="n">
        <v>0</v>
      </c>
      <c r="M27" s="9" t="s">
        <v>173</v>
      </c>
      <c r="N27" s="9"/>
      <c r="O27" s="9" t="s">
        <v>966</v>
      </c>
    </row>
    <row r="28" customFormat="false" ht="15" hidden="false" customHeight="true" outlineLevel="0" collapsed="false">
      <c r="A28" s="9" t="s">
        <v>1029</v>
      </c>
      <c r="B28" s="9"/>
      <c r="C28" s="9" t="s">
        <v>177</v>
      </c>
      <c r="D28" s="9" t="s">
        <v>178</v>
      </c>
      <c r="E28" s="9" t="s">
        <v>885</v>
      </c>
      <c r="F28" s="9" t="s">
        <v>1030</v>
      </c>
      <c r="G28" s="9" t="s">
        <v>1030</v>
      </c>
      <c r="H28" s="9" t="s">
        <v>1031</v>
      </c>
      <c r="I28" s="9"/>
      <c r="J28" s="9" t="s">
        <v>91</v>
      </c>
      <c r="K28" s="9" t="n">
        <v>1</v>
      </c>
      <c r="L28" s="9" t="n">
        <v>1336.32</v>
      </c>
      <c r="M28" s="9" t="s">
        <v>176</v>
      </c>
      <c r="N28" s="9"/>
      <c r="O28" s="9" t="s">
        <v>966</v>
      </c>
    </row>
    <row r="29" customFormat="false" ht="15" hidden="false" customHeight="true" outlineLevel="0" collapsed="false">
      <c r="A29" s="9" t="s">
        <v>1032</v>
      </c>
      <c r="B29" s="9"/>
      <c r="C29" s="9" t="s">
        <v>181</v>
      </c>
      <c r="D29" s="9" t="s">
        <v>182</v>
      </c>
      <c r="E29" s="9" t="s">
        <v>616</v>
      </c>
      <c r="F29" s="9" t="s">
        <v>1033</v>
      </c>
      <c r="G29" s="9" t="s">
        <v>1033</v>
      </c>
      <c r="H29" s="9" t="s">
        <v>1034</v>
      </c>
      <c r="I29" s="9"/>
      <c r="J29" s="9" t="s">
        <v>91</v>
      </c>
      <c r="K29" s="9" t="n">
        <v>1</v>
      </c>
      <c r="L29" s="9" t="n">
        <v>999.61</v>
      </c>
      <c r="M29" s="9" t="s">
        <v>180</v>
      </c>
      <c r="N29" s="9"/>
      <c r="O29" s="9" t="s">
        <v>966</v>
      </c>
    </row>
    <row r="30" customFormat="false" ht="15" hidden="false" customHeight="true" outlineLevel="0" collapsed="false">
      <c r="A30" s="9" t="s">
        <v>1035</v>
      </c>
      <c r="B30" s="9"/>
      <c r="C30" s="9" t="s">
        <v>186</v>
      </c>
      <c r="D30" s="9" t="s">
        <v>187</v>
      </c>
      <c r="E30" s="9" t="s">
        <v>718</v>
      </c>
      <c r="F30" s="9" t="s">
        <v>1036</v>
      </c>
      <c r="G30" s="9" t="s">
        <v>1036</v>
      </c>
      <c r="H30" s="9" t="s">
        <v>1037</v>
      </c>
      <c r="I30" s="9"/>
      <c r="J30" s="9" t="s">
        <v>91</v>
      </c>
      <c r="K30" s="9" t="n">
        <v>1</v>
      </c>
      <c r="L30" s="9" t="n">
        <v>1023.44</v>
      </c>
      <c r="M30" s="9" t="s">
        <v>185</v>
      </c>
      <c r="N30" s="9"/>
      <c r="O30" s="9" t="s">
        <v>966</v>
      </c>
    </row>
    <row r="31" customFormat="false" ht="15" hidden="false" customHeight="true" outlineLevel="0" collapsed="false">
      <c r="A31" s="9" t="s">
        <v>1038</v>
      </c>
      <c r="B31" s="9"/>
      <c r="C31" s="9" t="s">
        <v>190</v>
      </c>
      <c r="D31" s="9" t="s">
        <v>191</v>
      </c>
      <c r="E31" s="9" t="s">
        <v>684</v>
      </c>
      <c r="F31" s="9" t="s">
        <v>1039</v>
      </c>
      <c r="G31" s="9" t="s">
        <v>1039</v>
      </c>
      <c r="H31" s="9" t="s">
        <v>1040</v>
      </c>
      <c r="I31" s="9"/>
      <c r="J31" s="9" t="s">
        <v>91</v>
      </c>
      <c r="K31" s="9" t="n">
        <v>1</v>
      </c>
      <c r="L31" s="9" t="n">
        <v>1023.44</v>
      </c>
      <c r="M31" s="9" t="s">
        <v>185</v>
      </c>
      <c r="N31" s="9"/>
      <c r="O31" s="9" t="s">
        <v>966</v>
      </c>
    </row>
    <row r="32" customFormat="false" ht="15" hidden="false" customHeight="true" outlineLevel="0" collapsed="false">
      <c r="A32" s="9" t="s">
        <v>1041</v>
      </c>
      <c r="B32" s="9"/>
      <c r="C32" s="9" t="s">
        <v>195</v>
      </c>
      <c r="D32" s="9" t="s">
        <v>196</v>
      </c>
      <c r="E32" s="9" t="s">
        <v>708</v>
      </c>
      <c r="F32" s="9" t="s">
        <v>1042</v>
      </c>
      <c r="G32" s="9" t="s">
        <v>1042</v>
      </c>
      <c r="H32" s="9" t="s">
        <v>1043</v>
      </c>
      <c r="I32" s="9"/>
      <c r="J32" s="9" t="s">
        <v>91</v>
      </c>
      <c r="K32" s="9" t="n">
        <v>1</v>
      </c>
      <c r="L32" s="9" t="n">
        <v>1022.27</v>
      </c>
      <c r="M32" s="9" t="s">
        <v>194</v>
      </c>
      <c r="N32" s="9"/>
      <c r="O32" s="9" t="s">
        <v>966</v>
      </c>
    </row>
    <row r="33" customFormat="false" ht="15" hidden="false" customHeight="true" outlineLevel="0" collapsed="false">
      <c r="A33" s="9" t="s">
        <v>1044</v>
      </c>
      <c r="B33" s="9"/>
      <c r="C33" s="9" t="s">
        <v>201</v>
      </c>
      <c r="D33" s="9"/>
      <c r="E33" s="9"/>
      <c r="F33" s="9" t="s">
        <v>1045</v>
      </c>
      <c r="G33" s="9" t="s">
        <v>1045</v>
      </c>
      <c r="H33" s="9" t="s">
        <v>1046</v>
      </c>
      <c r="I33" s="9"/>
      <c r="J33" s="9" t="s">
        <v>91</v>
      </c>
      <c r="K33" s="9" t="n">
        <v>1</v>
      </c>
      <c r="L33" s="9" t="n">
        <v>1129.99</v>
      </c>
      <c r="M33" s="9" t="s">
        <v>200</v>
      </c>
      <c r="N33" s="9"/>
      <c r="O33" s="9" t="s">
        <v>966</v>
      </c>
    </row>
    <row r="34" customFormat="false" ht="15" hidden="false" customHeight="true" outlineLevel="0" collapsed="false">
      <c r="A34" s="9" t="s">
        <v>1047</v>
      </c>
      <c r="B34" s="9"/>
      <c r="C34" s="9" t="s">
        <v>205</v>
      </c>
      <c r="D34" s="9" t="s">
        <v>206</v>
      </c>
      <c r="E34" s="9" t="s">
        <v>573</v>
      </c>
      <c r="F34" s="9" t="s">
        <v>1048</v>
      </c>
      <c r="G34" s="9" t="s">
        <v>1048</v>
      </c>
      <c r="H34" s="9" t="s">
        <v>1049</v>
      </c>
      <c r="I34" s="9"/>
      <c r="J34" s="9" t="s">
        <v>91</v>
      </c>
      <c r="K34" s="9" t="n">
        <v>1</v>
      </c>
      <c r="L34" s="9" t="n">
        <v>1007.06</v>
      </c>
      <c r="M34" s="9" t="s">
        <v>203</v>
      </c>
      <c r="N34" s="9"/>
      <c r="O34" s="9" t="s">
        <v>966</v>
      </c>
    </row>
    <row r="35" customFormat="false" ht="15" hidden="false" customHeight="true" outlineLevel="0" collapsed="false">
      <c r="A35" s="9" t="s">
        <v>1050</v>
      </c>
      <c r="B35" s="9"/>
      <c r="C35" s="9" t="s">
        <v>209</v>
      </c>
      <c r="D35" s="9" t="s">
        <v>210</v>
      </c>
      <c r="E35" s="9" t="s">
        <v>612</v>
      </c>
      <c r="F35" s="9" t="s">
        <v>1051</v>
      </c>
      <c r="G35" s="9" t="s">
        <v>1051</v>
      </c>
      <c r="H35" s="9" t="s">
        <v>1052</v>
      </c>
      <c r="I35" s="9"/>
      <c r="J35" s="9" t="s">
        <v>91</v>
      </c>
      <c r="K35" s="9" t="n">
        <v>1</v>
      </c>
      <c r="L35" s="9" t="n">
        <v>1026.43</v>
      </c>
      <c r="M35" s="9" t="s">
        <v>203</v>
      </c>
      <c r="N35" s="9"/>
      <c r="O35" s="9" t="s">
        <v>966</v>
      </c>
    </row>
    <row r="36" customFormat="false" ht="15" hidden="false" customHeight="true" outlineLevel="0" collapsed="false">
      <c r="A36" s="9" t="s">
        <v>1053</v>
      </c>
      <c r="B36" s="9"/>
      <c r="C36" s="9" t="s">
        <v>214</v>
      </c>
      <c r="D36" s="9" t="s">
        <v>215</v>
      </c>
      <c r="E36" s="9" t="s">
        <v>620</v>
      </c>
      <c r="F36" s="9" t="s">
        <v>1054</v>
      </c>
      <c r="G36" s="9" t="s">
        <v>1054</v>
      </c>
      <c r="H36" s="9" t="s">
        <v>1055</v>
      </c>
      <c r="I36" s="9"/>
      <c r="J36" s="9" t="s">
        <v>91</v>
      </c>
      <c r="K36" s="9" t="n">
        <v>1</v>
      </c>
      <c r="L36" s="9" t="n">
        <v>1008.01</v>
      </c>
      <c r="M36" s="9" t="s">
        <v>213</v>
      </c>
      <c r="N36" s="9"/>
      <c r="O36" s="9" t="s">
        <v>966</v>
      </c>
    </row>
    <row r="37" customFormat="false" ht="15" hidden="false" customHeight="true" outlineLevel="0" collapsed="false">
      <c r="A37" s="9" t="s">
        <v>1056</v>
      </c>
      <c r="B37" s="9"/>
      <c r="C37" s="9" t="s">
        <v>219</v>
      </c>
      <c r="D37" s="9" t="s">
        <v>220</v>
      </c>
      <c r="E37" s="9" t="s">
        <v>656</v>
      </c>
      <c r="F37" s="9" t="s">
        <v>1057</v>
      </c>
      <c r="G37" s="9" t="s">
        <v>1057</v>
      </c>
      <c r="H37" s="9" t="s">
        <v>1058</v>
      </c>
      <c r="I37" s="9"/>
      <c r="J37" s="9" t="s">
        <v>91</v>
      </c>
      <c r="K37" s="9" t="n">
        <v>1</v>
      </c>
      <c r="L37" s="9" t="n">
        <v>1006.76</v>
      </c>
      <c r="M37" s="9" t="s">
        <v>218</v>
      </c>
      <c r="N37" s="9"/>
      <c r="O37" s="9" t="s">
        <v>966</v>
      </c>
    </row>
    <row r="38" customFormat="false" ht="15" hidden="false" customHeight="true" outlineLevel="0" collapsed="false">
      <c r="A38" s="9" t="s">
        <v>1059</v>
      </c>
      <c r="B38" s="9"/>
      <c r="C38" s="9" t="s">
        <v>223</v>
      </c>
      <c r="D38" s="9" t="s">
        <v>224</v>
      </c>
      <c r="E38" s="9" t="s">
        <v>542</v>
      </c>
      <c r="F38" s="9" t="s">
        <v>1060</v>
      </c>
      <c r="G38" s="9" t="s">
        <v>1060</v>
      </c>
      <c r="H38" s="9" t="s">
        <v>1061</v>
      </c>
      <c r="I38" s="9"/>
      <c r="J38" s="9" t="s">
        <v>91</v>
      </c>
      <c r="K38" s="9" t="n">
        <v>1</v>
      </c>
      <c r="L38" s="9" t="n">
        <v>1107.39</v>
      </c>
      <c r="M38" s="9" t="s">
        <v>218</v>
      </c>
      <c r="N38" s="9"/>
      <c r="O38" s="9" t="s">
        <v>966</v>
      </c>
    </row>
    <row r="39" customFormat="false" ht="15" hidden="false" customHeight="true" outlineLevel="0" collapsed="false">
      <c r="A39" s="9" t="s">
        <v>1062</v>
      </c>
      <c r="B39" s="9"/>
      <c r="C39" s="9" t="s">
        <v>228</v>
      </c>
      <c r="D39" s="9" t="s">
        <v>229</v>
      </c>
      <c r="E39" s="9" t="s">
        <v>749</v>
      </c>
      <c r="F39" s="9" t="s">
        <v>1063</v>
      </c>
      <c r="G39" s="9" t="s">
        <v>1063</v>
      </c>
      <c r="H39" s="9" t="s">
        <v>1064</v>
      </c>
      <c r="I39" s="9"/>
      <c r="J39" s="9" t="s">
        <v>91</v>
      </c>
      <c r="K39" s="9" t="n">
        <v>1</v>
      </c>
      <c r="L39" s="9" t="n">
        <v>1049.99</v>
      </c>
      <c r="M39" s="9" t="s">
        <v>227</v>
      </c>
      <c r="N39" s="9"/>
      <c r="O39" s="9" t="s">
        <v>966</v>
      </c>
    </row>
    <row r="40" customFormat="false" ht="15" hidden="false" customHeight="true" outlineLevel="0" collapsed="false">
      <c r="A40" s="9" t="s">
        <v>1065</v>
      </c>
      <c r="B40" s="9"/>
      <c r="C40" s="9" t="s">
        <v>231</v>
      </c>
      <c r="D40" s="9" t="s">
        <v>232</v>
      </c>
      <c r="E40" s="9" t="s">
        <v>640</v>
      </c>
      <c r="F40" s="9" t="s">
        <v>1066</v>
      </c>
      <c r="G40" s="9" t="s">
        <v>1066</v>
      </c>
      <c r="H40" s="9" t="s">
        <v>1067</v>
      </c>
      <c r="I40" s="9"/>
      <c r="J40" s="9" t="s">
        <v>91</v>
      </c>
      <c r="K40" s="9" t="n">
        <v>1</v>
      </c>
      <c r="L40" s="9" t="n">
        <v>1026.36</v>
      </c>
      <c r="M40" s="9" t="s">
        <v>227</v>
      </c>
      <c r="N40" s="9"/>
      <c r="O40" s="9" t="s">
        <v>966</v>
      </c>
    </row>
    <row r="41" customFormat="false" ht="15" hidden="false" customHeight="true" outlineLevel="0" collapsed="false">
      <c r="A41" s="9" t="s">
        <v>1068</v>
      </c>
      <c r="B41" s="9"/>
      <c r="C41" s="9" t="s">
        <v>235</v>
      </c>
      <c r="D41" s="9" t="s">
        <v>236</v>
      </c>
      <c r="E41" s="9" t="s">
        <v>688</v>
      </c>
      <c r="F41" s="9" t="s">
        <v>1022</v>
      </c>
      <c r="G41" s="9" t="s">
        <v>1022</v>
      </c>
      <c r="H41" s="9" t="s">
        <v>1069</v>
      </c>
      <c r="I41" s="9"/>
      <c r="J41" s="9" t="s">
        <v>91</v>
      </c>
      <c r="K41" s="9" t="n">
        <v>1</v>
      </c>
      <c r="L41" s="9" t="n">
        <v>1005.96</v>
      </c>
      <c r="M41" s="9" t="s">
        <v>227</v>
      </c>
      <c r="N41" s="9"/>
      <c r="O41" s="9" t="s">
        <v>966</v>
      </c>
    </row>
    <row r="42" customFormat="false" ht="15" hidden="false" customHeight="true" outlineLevel="0" collapsed="false">
      <c r="A42" s="9" t="s">
        <v>1070</v>
      </c>
      <c r="B42" s="9"/>
      <c r="C42" s="9" t="s">
        <v>240</v>
      </c>
      <c r="D42" s="9" t="s">
        <v>241</v>
      </c>
      <c r="E42" s="9" t="s">
        <v>546</v>
      </c>
      <c r="F42" s="9" t="s">
        <v>1071</v>
      </c>
      <c r="G42" s="9" t="s">
        <v>1071</v>
      </c>
      <c r="H42" s="9" t="s">
        <v>1072</v>
      </c>
      <c r="I42" s="9"/>
      <c r="J42" s="9" t="s">
        <v>91</v>
      </c>
      <c r="K42" s="9" t="n">
        <v>1</v>
      </c>
      <c r="L42" s="9" t="n">
        <v>1028.99</v>
      </c>
      <c r="M42" s="9" t="s">
        <v>239</v>
      </c>
      <c r="N42" s="9"/>
      <c r="O42" s="9" t="s">
        <v>966</v>
      </c>
    </row>
    <row r="43" customFormat="false" ht="15" hidden="false" customHeight="true" outlineLevel="0" collapsed="false">
      <c r="A43" s="9" t="s">
        <v>1073</v>
      </c>
      <c r="B43" s="9"/>
      <c r="C43" s="9" t="s">
        <v>245</v>
      </c>
      <c r="D43" s="9" t="s">
        <v>246</v>
      </c>
      <c r="E43" s="9" t="s">
        <v>601</v>
      </c>
      <c r="F43" s="9" t="s">
        <v>1074</v>
      </c>
      <c r="G43" s="9" t="s">
        <v>1074</v>
      </c>
      <c r="H43" s="9" t="s">
        <v>1075</v>
      </c>
      <c r="I43" s="9"/>
      <c r="J43" s="9" t="s">
        <v>91</v>
      </c>
      <c r="K43" s="9" t="n">
        <v>1</v>
      </c>
      <c r="L43" s="9" t="n">
        <v>1006.97</v>
      </c>
      <c r="M43" s="9" t="s">
        <v>244</v>
      </c>
      <c r="N43" s="9"/>
      <c r="O43" s="9" t="s">
        <v>966</v>
      </c>
    </row>
    <row r="44" customFormat="false" ht="15" hidden="false" customHeight="true" outlineLevel="0" collapsed="false">
      <c r="A44" s="9" t="s">
        <v>1076</v>
      </c>
      <c r="B44" s="9"/>
      <c r="C44" s="9" t="s">
        <v>250</v>
      </c>
      <c r="D44" s="9" t="s">
        <v>251</v>
      </c>
      <c r="E44" s="9" t="s">
        <v>827</v>
      </c>
      <c r="F44" s="9" t="s">
        <v>1077</v>
      </c>
      <c r="G44" s="9" t="s">
        <v>1077</v>
      </c>
      <c r="H44" s="9" t="s">
        <v>1078</v>
      </c>
      <c r="I44" s="9"/>
      <c r="J44" s="9" t="s">
        <v>91</v>
      </c>
      <c r="K44" s="9" t="n">
        <v>1</v>
      </c>
      <c r="L44" s="9" t="n">
        <v>1049.99</v>
      </c>
      <c r="M44" s="9" t="s">
        <v>244</v>
      </c>
      <c r="N44" s="9"/>
      <c r="O44" s="9" t="s">
        <v>966</v>
      </c>
    </row>
    <row r="45" customFormat="false" ht="15" hidden="false" customHeight="true" outlineLevel="0" collapsed="false">
      <c r="A45" s="9" t="s">
        <v>1079</v>
      </c>
      <c r="B45" s="9"/>
      <c r="C45" s="9" t="s">
        <v>254</v>
      </c>
      <c r="D45" s="9" t="s">
        <v>255</v>
      </c>
      <c r="E45" s="9" t="s">
        <v>630</v>
      </c>
      <c r="F45" s="9" t="s">
        <v>1080</v>
      </c>
      <c r="G45" s="9" t="s">
        <v>1080</v>
      </c>
      <c r="H45" s="9" t="s">
        <v>1081</v>
      </c>
      <c r="I45" s="9"/>
      <c r="J45" s="9" t="s">
        <v>91</v>
      </c>
      <c r="K45" s="9" t="n">
        <v>1</v>
      </c>
      <c r="L45" s="9" t="n">
        <v>1001.65</v>
      </c>
      <c r="M45" s="9" t="s">
        <v>253</v>
      </c>
      <c r="N45" s="9"/>
      <c r="O45" s="9" t="s">
        <v>966</v>
      </c>
    </row>
    <row r="46" customFormat="false" ht="15" hidden="false" customHeight="true" outlineLevel="0" collapsed="false">
      <c r="A46" s="9" t="s">
        <v>1082</v>
      </c>
      <c r="B46" s="9"/>
      <c r="C46" s="9" t="s">
        <v>259</v>
      </c>
      <c r="D46" s="9" t="s">
        <v>260</v>
      </c>
      <c r="E46" s="9" t="s">
        <v>590</v>
      </c>
      <c r="F46" s="9" t="s">
        <v>1083</v>
      </c>
      <c r="G46" s="9" t="s">
        <v>1083</v>
      </c>
      <c r="H46" s="9" t="s">
        <v>1084</v>
      </c>
      <c r="I46" s="9"/>
      <c r="J46" s="9" t="s">
        <v>91</v>
      </c>
      <c r="K46" s="9" t="n">
        <v>1</v>
      </c>
      <c r="L46" s="9" t="n">
        <v>1024.49</v>
      </c>
      <c r="M46" s="9" t="s">
        <v>258</v>
      </c>
      <c r="N46" s="9"/>
      <c r="O46" s="9" t="s">
        <v>966</v>
      </c>
    </row>
    <row r="47" customFormat="false" ht="15" hidden="false" customHeight="true" outlineLevel="0" collapsed="false">
      <c r="A47" s="9" t="s">
        <v>1085</v>
      </c>
      <c r="B47" s="9"/>
      <c r="C47" s="9" t="s">
        <v>264</v>
      </c>
      <c r="D47" s="9" t="s">
        <v>165</v>
      </c>
      <c r="E47" s="9" t="s">
        <v>530</v>
      </c>
      <c r="F47" s="9" t="s">
        <v>1086</v>
      </c>
      <c r="G47" s="9" t="s">
        <v>1086</v>
      </c>
      <c r="H47" s="9" t="s">
        <v>1087</v>
      </c>
      <c r="I47" s="9"/>
      <c r="J47" s="9" t="s">
        <v>91</v>
      </c>
      <c r="K47" s="9" t="n">
        <v>1</v>
      </c>
      <c r="L47" s="9" t="n">
        <v>1049.99</v>
      </c>
      <c r="M47" s="9" t="s">
        <v>263</v>
      </c>
      <c r="N47" s="9"/>
      <c r="O47" s="9" t="s">
        <v>966</v>
      </c>
    </row>
    <row r="48" customFormat="false" ht="15" hidden="false" customHeight="true" outlineLevel="0" collapsed="false">
      <c r="A48" s="9" t="s">
        <v>1088</v>
      </c>
      <c r="B48" s="9"/>
      <c r="C48" s="9" t="s">
        <v>266</v>
      </c>
      <c r="D48" s="9"/>
      <c r="E48" s="9"/>
      <c r="F48" s="9"/>
      <c r="G48" s="9"/>
      <c r="H48" s="9" t="s">
        <v>1089</v>
      </c>
      <c r="I48" s="9"/>
      <c r="J48" s="9" t="s">
        <v>91</v>
      </c>
      <c r="K48" s="9" t="n">
        <v>1</v>
      </c>
      <c r="L48" s="9" t="n">
        <v>43.74</v>
      </c>
      <c r="M48" s="9" t="s">
        <v>263</v>
      </c>
      <c r="N48" s="9"/>
      <c r="O48" s="9" t="s">
        <v>966</v>
      </c>
    </row>
    <row r="49" customFormat="false" ht="15" hidden="false" customHeight="true" outlineLevel="0" collapsed="false">
      <c r="A49" s="9" t="s">
        <v>1090</v>
      </c>
      <c r="B49" s="9"/>
      <c r="C49" s="9" t="s">
        <v>268</v>
      </c>
      <c r="D49" s="9" t="s">
        <v>269</v>
      </c>
      <c r="E49" s="9" t="s">
        <v>578</v>
      </c>
      <c r="F49" s="9" t="s">
        <v>1091</v>
      </c>
      <c r="G49" s="9" t="s">
        <v>1091</v>
      </c>
      <c r="H49" s="9" t="s">
        <v>1092</v>
      </c>
      <c r="I49" s="9"/>
      <c r="J49" s="9" t="s">
        <v>91</v>
      </c>
      <c r="K49" s="9" t="n">
        <v>1</v>
      </c>
      <c r="L49" s="9" t="n">
        <v>1001.48</v>
      </c>
      <c r="M49" s="9" t="s">
        <v>263</v>
      </c>
      <c r="N49" s="9"/>
      <c r="O49" s="9" t="s">
        <v>966</v>
      </c>
    </row>
    <row r="50" customFormat="false" ht="15" hidden="false" customHeight="true" outlineLevel="0" collapsed="false">
      <c r="A50" s="9" t="s">
        <v>1093</v>
      </c>
      <c r="B50" s="9"/>
      <c r="C50" s="9" t="s">
        <v>273</v>
      </c>
      <c r="D50" s="9"/>
      <c r="E50" s="9"/>
      <c r="F50" s="9" t="s">
        <v>1094</v>
      </c>
      <c r="G50" s="9" t="s">
        <v>1094</v>
      </c>
      <c r="H50" s="9" t="s">
        <v>1095</v>
      </c>
      <c r="I50" s="9"/>
      <c r="J50" s="9" t="s">
        <v>91</v>
      </c>
      <c r="K50" s="9" t="n">
        <v>1</v>
      </c>
      <c r="L50" s="9" t="n">
        <v>0</v>
      </c>
      <c r="M50" s="9" t="s">
        <v>263</v>
      </c>
      <c r="N50" s="9"/>
      <c r="O50" s="9" t="s">
        <v>966</v>
      </c>
    </row>
    <row r="51" customFormat="false" ht="15" hidden="false" customHeight="true" outlineLevel="0" collapsed="false">
      <c r="A51" s="9" t="s">
        <v>1096</v>
      </c>
      <c r="B51" s="9"/>
      <c r="C51" s="9" t="s">
        <v>278</v>
      </c>
      <c r="D51" s="9" t="s">
        <v>279</v>
      </c>
      <c r="E51" s="9" t="s">
        <v>561</v>
      </c>
      <c r="F51" s="9" t="s">
        <v>1097</v>
      </c>
      <c r="G51" s="9" t="s">
        <v>1097</v>
      </c>
      <c r="H51" s="9" t="s">
        <v>1098</v>
      </c>
      <c r="I51" s="9"/>
      <c r="J51" s="9" t="s">
        <v>91</v>
      </c>
      <c r="K51" s="9" t="n">
        <v>1</v>
      </c>
      <c r="L51" s="9" t="n">
        <v>1028.99</v>
      </c>
      <c r="M51" s="9" t="s">
        <v>277</v>
      </c>
      <c r="N51" s="9"/>
      <c r="O51" s="9" t="s">
        <v>966</v>
      </c>
    </row>
    <row r="52" customFormat="false" ht="15" hidden="false" customHeight="true" outlineLevel="0" collapsed="false">
      <c r="A52" s="9" t="s">
        <v>1099</v>
      </c>
      <c r="B52" s="9"/>
      <c r="C52" s="9" t="s">
        <v>283</v>
      </c>
      <c r="D52" s="9" t="s">
        <v>284</v>
      </c>
      <c r="E52" s="9" t="s">
        <v>672</v>
      </c>
      <c r="F52" s="9" t="s">
        <v>1100</v>
      </c>
      <c r="G52" s="9" t="s">
        <v>1100</v>
      </c>
      <c r="H52" s="9" t="s">
        <v>1101</v>
      </c>
      <c r="I52" s="9"/>
      <c r="J52" s="9" t="s">
        <v>91</v>
      </c>
      <c r="K52" s="9" t="n">
        <v>1</v>
      </c>
      <c r="L52" s="9" t="n">
        <v>996.07</v>
      </c>
      <c r="M52" s="9" t="s">
        <v>282</v>
      </c>
      <c r="N52" s="9"/>
      <c r="O52" s="9" t="s">
        <v>966</v>
      </c>
    </row>
    <row r="53" customFormat="false" ht="15" hidden="false" customHeight="true" outlineLevel="0" collapsed="false">
      <c r="A53" s="9" t="s">
        <v>1102</v>
      </c>
      <c r="B53" s="9"/>
      <c r="C53" s="9" t="s">
        <v>1103</v>
      </c>
      <c r="D53" s="9"/>
      <c r="E53" s="9"/>
      <c r="F53" s="9"/>
      <c r="G53" s="9"/>
      <c r="H53" s="9" t="s">
        <v>1104</v>
      </c>
      <c r="I53" s="9"/>
      <c r="J53" s="9" t="s">
        <v>91</v>
      </c>
      <c r="K53" s="9" t="n">
        <v>0</v>
      </c>
      <c r="L53" s="9" t="n">
        <v>0</v>
      </c>
      <c r="M53" s="9"/>
      <c r="N53" s="9"/>
      <c r="O53" s="9" t="s">
        <v>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5"/>
    <col collapsed="false" customWidth="true" hidden="false" outlineLevel="0" max="3" min="3" style="1" width="40"/>
    <col collapsed="false" customWidth="true" hidden="false" outlineLevel="0" max="4" min="4" style="1" width="22"/>
    <col collapsed="false" customWidth="true" hidden="false" outlineLevel="0" max="5" min="5" style="1" width="12"/>
  </cols>
  <sheetData>
    <row r="1" customFormat="false" ht="30" hidden="false" customHeight="true" outlineLevel="0" collapsed="false">
      <c r="A1" s="2" t="s">
        <v>1105</v>
      </c>
    </row>
    <row r="2" customFormat="false" ht="15" hidden="false" customHeight="true" outlineLevel="0" collapsed="false">
      <c r="A2" s="3" t="s">
        <v>1106</v>
      </c>
    </row>
    <row r="4" customFormat="false" ht="15" hidden="false" customHeight="true" outlineLevel="0" collapsed="false">
      <c r="A4" s="3" t="s">
        <v>1107</v>
      </c>
    </row>
    <row r="5" customFormat="false" ht="15" hidden="false" customHeight="true" outlineLevel="0" collapsed="false">
      <c r="A5" s="4" t="s">
        <v>1108</v>
      </c>
      <c r="B5" s="4" t="s">
        <v>1109</v>
      </c>
      <c r="C5" s="4" t="s">
        <v>1110</v>
      </c>
      <c r="D5" s="4" t="s">
        <v>1111</v>
      </c>
    </row>
    <row r="6" customFormat="false" ht="15" hidden="false" customHeight="true" outlineLevel="0" collapsed="false">
      <c r="A6" s="5" t="s">
        <v>313</v>
      </c>
      <c r="B6" s="5" t="s">
        <v>1112</v>
      </c>
      <c r="C6" s="5" t="s">
        <v>1113</v>
      </c>
      <c r="D6" s="5" t="s">
        <v>1114</v>
      </c>
    </row>
    <row r="7" customFormat="false" ht="15" hidden="false" customHeight="true" outlineLevel="0" collapsed="false">
      <c r="A7" s="5" t="s">
        <v>332</v>
      </c>
      <c r="B7" s="5" t="s">
        <v>1115</v>
      </c>
      <c r="C7" s="5" t="s">
        <v>1116</v>
      </c>
      <c r="D7" s="5" t="s">
        <v>1117</v>
      </c>
    </row>
    <row r="8" customFormat="false" ht="15" hidden="false" customHeight="true" outlineLevel="0" collapsed="false">
      <c r="A8" s="5" t="s">
        <v>1118</v>
      </c>
      <c r="B8" s="5" t="s">
        <v>1119</v>
      </c>
      <c r="C8" s="5" t="s">
        <v>1120</v>
      </c>
      <c r="D8" s="5" t="s">
        <v>1121</v>
      </c>
    </row>
    <row r="10" customFormat="false" ht="15" hidden="false" customHeight="true" outlineLevel="0" collapsed="false">
      <c r="A10" s="3" t="s">
        <v>1122</v>
      </c>
    </row>
    <row r="11" customFormat="false" ht="15" hidden="false" customHeight="true" outlineLevel="0" collapsed="false">
      <c r="A11" s="4" t="s">
        <v>1123</v>
      </c>
      <c r="B11" s="4" t="s">
        <v>1124</v>
      </c>
      <c r="C11" s="4" t="s">
        <v>1125</v>
      </c>
      <c r="D11" s="4" t="s">
        <v>1126</v>
      </c>
      <c r="E11" s="4" t="s">
        <v>5</v>
      </c>
    </row>
    <row r="12" customFormat="false" ht="15" hidden="false" customHeight="true" outlineLevel="0" collapsed="false">
      <c r="A12" s="5" t="s">
        <v>91</v>
      </c>
      <c r="B12" s="5" t="s">
        <v>1127</v>
      </c>
      <c r="C12" s="5" t="s">
        <v>1128</v>
      </c>
      <c r="D12" s="5" t="s">
        <v>1129</v>
      </c>
      <c r="E12" s="5" t="s">
        <v>474</v>
      </c>
    </row>
    <row r="13" customFormat="false" ht="15" hidden="false" customHeight="true" outlineLevel="0" collapsed="false">
      <c r="A13" s="5" t="s">
        <v>1130</v>
      </c>
      <c r="B13" s="5" t="s">
        <v>1131</v>
      </c>
      <c r="C13" s="5" t="s">
        <v>1132</v>
      </c>
      <c r="D13" s="5" t="s">
        <v>1133</v>
      </c>
      <c r="E13" s="5" t="s">
        <v>474</v>
      </c>
    </row>
    <row r="14" customFormat="false" ht="15" hidden="false" customHeight="true" outlineLevel="0" collapsed="false">
      <c r="A14" s="5" t="s">
        <v>1134</v>
      </c>
      <c r="B14" s="5" t="s">
        <v>1135</v>
      </c>
      <c r="C14" s="5" t="s">
        <v>1136</v>
      </c>
      <c r="D14" s="5" t="s">
        <v>1137</v>
      </c>
      <c r="E14" s="5" t="s">
        <v>474</v>
      </c>
    </row>
    <row r="16" customFormat="false" ht="15" hidden="false" customHeight="true" outlineLevel="0" collapsed="false">
      <c r="A16" s="3" t="s">
        <v>1138</v>
      </c>
    </row>
    <row r="17" customFormat="false" ht="15" hidden="false" customHeight="true" outlineLevel="0" collapsed="false">
      <c r="A17" s="4" t="s">
        <v>1139</v>
      </c>
      <c r="B17" s="4" t="s">
        <v>3</v>
      </c>
      <c r="C17" s="4" t="s">
        <v>49</v>
      </c>
    </row>
    <row r="18" customFormat="false" ht="15" hidden="false" customHeight="true" outlineLevel="0" collapsed="false">
      <c r="A18" s="5" t="s">
        <v>1140</v>
      </c>
      <c r="B18" s="5" t="s">
        <v>1141</v>
      </c>
      <c r="C18" s="5" t="s">
        <v>1142</v>
      </c>
    </row>
    <row r="19" customFormat="false" ht="15" hidden="false" customHeight="true" outlineLevel="0" collapsed="false">
      <c r="A19" s="5" t="s">
        <v>1143</v>
      </c>
      <c r="B19" s="5" t="s">
        <v>313</v>
      </c>
      <c r="C19" s="5" t="s">
        <v>1144</v>
      </c>
    </row>
    <row r="20" customFormat="false" ht="15" hidden="false" customHeight="true" outlineLevel="0" collapsed="false">
      <c r="A20" s="5" t="s">
        <v>1145</v>
      </c>
      <c r="B20" s="5" t="s">
        <v>1146</v>
      </c>
      <c r="C20" s="5" t="s">
        <v>1147</v>
      </c>
    </row>
    <row r="21" customFormat="false" ht="23.25" hidden="false" customHeight="true" outlineLevel="0" collapsed="false">
      <c r="A21" s="5" t="s">
        <v>1148</v>
      </c>
      <c r="B21" s="5" t="s">
        <v>922</v>
      </c>
      <c r="C21" s="5" t="s">
        <v>1149</v>
      </c>
    </row>
    <row r="22" customFormat="false" ht="23.25" hidden="false" customHeight="true" outlineLevel="0" collapsed="false">
      <c r="A22" s="5" t="s">
        <v>1150</v>
      </c>
      <c r="B22" s="5" t="s">
        <v>1151</v>
      </c>
      <c r="C22" s="5" t="s">
        <v>1152</v>
      </c>
    </row>
    <row r="23" customFormat="false" ht="15" hidden="false" customHeight="true" outlineLevel="0" collapsed="false">
      <c r="A23" s="5" t="s">
        <v>1153</v>
      </c>
      <c r="B23" s="5" t="s">
        <v>1154</v>
      </c>
      <c r="C23" s="5" t="s">
        <v>1155</v>
      </c>
    </row>
    <row r="24" customFormat="false" ht="23.25" hidden="false" customHeight="true" outlineLevel="0" collapsed="false">
      <c r="A24" s="5" t="s">
        <v>1156</v>
      </c>
      <c r="B24" s="5" t="s">
        <v>1157</v>
      </c>
      <c r="C24" s="5" t="s">
        <v>1158</v>
      </c>
    </row>
    <row r="26" customFormat="false" ht="15" hidden="false" customHeight="true" outlineLevel="0" collapsed="false">
      <c r="A26" s="3" t="s">
        <v>1159</v>
      </c>
    </row>
    <row r="27" customFormat="false" ht="15" hidden="false" customHeight="true" outlineLevel="0" collapsed="false">
      <c r="A27" s="4" t="s">
        <v>1160</v>
      </c>
      <c r="B27" s="4" t="s">
        <v>1139</v>
      </c>
      <c r="C27" s="4" t="s">
        <v>49</v>
      </c>
    </row>
    <row r="28" customFormat="false" ht="15" hidden="false" customHeight="true" outlineLevel="0" collapsed="false">
      <c r="A28" s="5" t="s">
        <v>1161</v>
      </c>
      <c r="B28" s="5" t="s">
        <v>1162</v>
      </c>
      <c r="C28" s="5" t="s">
        <v>1163</v>
      </c>
    </row>
    <row r="29" customFormat="false" ht="23.25" hidden="false" customHeight="true" outlineLevel="0" collapsed="false">
      <c r="A29" s="5" t="s">
        <v>1164</v>
      </c>
      <c r="B29" s="5" t="s">
        <v>1165</v>
      </c>
      <c r="C29" s="5" t="s">
        <v>1166</v>
      </c>
    </row>
    <row r="30" customFormat="false" ht="15" hidden="false" customHeight="true" outlineLevel="0" collapsed="false">
      <c r="A30" s="5" t="s">
        <v>1167</v>
      </c>
      <c r="B30" s="5" t="s">
        <v>1128</v>
      </c>
      <c r="C30" s="5" t="s">
        <v>1168</v>
      </c>
    </row>
    <row r="31" customFormat="false" ht="23.25" hidden="false" customHeight="true" outlineLevel="0" collapsed="false">
      <c r="A31" s="5" t="s">
        <v>1169</v>
      </c>
      <c r="B31" s="5" t="s">
        <v>1170</v>
      </c>
      <c r="C31" s="5" t="s">
        <v>1171</v>
      </c>
    </row>
    <row r="32" customFormat="false" ht="15" hidden="false" customHeight="true" outlineLevel="0" collapsed="false">
      <c r="A32" s="5" t="s">
        <v>1172</v>
      </c>
      <c r="B32" s="5" t="s">
        <v>1170</v>
      </c>
      <c r="C32" s="5" t="s">
        <v>1173</v>
      </c>
    </row>
    <row r="34" customFormat="false" ht="15" hidden="false" customHeight="true" outlineLevel="0" collapsed="false">
      <c r="A34" s="3" t="s">
        <v>1174</v>
      </c>
    </row>
    <row r="35" customFormat="false" ht="15" hidden="false" customHeight="true" outlineLevel="0" collapsed="false">
      <c r="A35" s="4" t="s">
        <v>1160</v>
      </c>
      <c r="B35" s="4" t="s">
        <v>1139</v>
      </c>
      <c r="C35" s="4" t="s">
        <v>49</v>
      </c>
    </row>
    <row r="36" customFormat="false" ht="15" hidden="false" customHeight="true" outlineLevel="0" collapsed="false">
      <c r="A36" s="5" t="s">
        <v>1175</v>
      </c>
      <c r="B36" s="5" t="s">
        <v>1176</v>
      </c>
      <c r="C36" s="5" t="s">
        <v>1177</v>
      </c>
    </row>
    <row r="37" customFormat="false" ht="15" hidden="false" customHeight="true" outlineLevel="0" collapsed="false">
      <c r="A37" s="5" t="s">
        <v>1178</v>
      </c>
      <c r="B37" s="5" t="s">
        <v>1179</v>
      </c>
      <c r="C37" s="5" t="s">
        <v>1180</v>
      </c>
    </row>
    <row r="38" customFormat="false" ht="15" hidden="false" customHeight="true" outlineLevel="0" collapsed="false">
      <c r="A38" s="5" t="s">
        <v>1181</v>
      </c>
      <c r="B38" s="5" t="s">
        <v>1182</v>
      </c>
      <c r="C38" s="5" t="s">
        <v>1183</v>
      </c>
    </row>
    <row r="39" customFormat="false" ht="23.25" hidden="false" customHeight="true" outlineLevel="0" collapsed="false">
      <c r="A39" s="5" t="s">
        <v>1184</v>
      </c>
      <c r="B39" s="5" t="s">
        <v>1128</v>
      </c>
      <c r="C39" s="5" t="s">
        <v>1185</v>
      </c>
    </row>
    <row r="40" customFormat="false" ht="15" hidden="false" customHeight="true" outlineLevel="0" collapsed="false">
      <c r="A40" s="5" t="s">
        <v>1186</v>
      </c>
      <c r="B40" s="5" t="s">
        <v>1187</v>
      </c>
      <c r="C40" s="5" t="s">
        <v>1188</v>
      </c>
    </row>
    <row r="42" customFormat="false" ht="15" hidden="false" customHeight="true" outlineLevel="0" collapsed="false">
      <c r="A42" s="18" t="s">
        <v>1189</v>
      </c>
    </row>
    <row r="43" customFormat="false" ht="15" hidden="false" customHeight="true" outlineLevel="0" collapsed="false">
      <c r="A43" s="4" t="s">
        <v>1190</v>
      </c>
      <c r="B43" s="4" t="s">
        <v>1191</v>
      </c>
      <c r="C43" s="4" t="s">
        <v>1192</v>
      </c>
      <c r="D43" s="4" t="s">
        <v>1193</v>
      </c>
      <c r="E43" s="4" t="s">
        <v>49</v>
      </c>
    </row>
    <row r="44" customFormat="false" ht="23.25" hidden="false" customHeight="true" outlineLevel="0" collapsed="false">
      <c r="A44" s="6" t="s">
        <v>1194</v>
      </c>
      <c r="B44" s="6" t="s">
        <v>1195</v>
      </c>
      <c r="C44" s="6" t="s">
        <v>1196</v>
      </c>
      <c r="D44" s="6" t="s">
        <v>1197</v>
      </c>
      <c r="E44" s="6" t="s">
        <v>1198</v>
      </c>
    </row>
    <row r="45" customFormat="false" ht="23.25" hidden="false" customHeight="true" outlineLevel="0" collapsed="false">
      <c r="A45" s="6" t="s">
        <v>1199</v>
      </c>
      <c r="B45" s="6" t="s">
        <v>1200</v>
      </c>
      <c r="C45" s="6" t="s">
        <v>1201</v>
      </c>
      <c r="D45" s="6" t="s">
        <v>1202</v>
      </c>
      <c r="E45" s="6" t="s">
        <v>1203</v>
      </c>
    </row>
    <row r="46" customFormat="false" ht="23.25" hidden="false" customHeight="true" outlineLevel="0" collapsed="false">
      <c r="A46" s="6" t="s">
        <v>1204</v>
      </c>
      <c r="B46" s="6" t="s">
        <v>1205</v>
      </c>
      <c r="C46" s="6" t="s">
        <v>1206</v>
      </c>
      <c r="D46" s="6" t="s">
        <v>1207</v>
      </c>
      <c r="E46" s="6" t="s">
        <v>1208</v>
      </c>
    </row>
    <row r="47" customFormat="false" ht="23.25" hidden="false" customHeight="true" outlineLevel="0" collapsed="false">
      <c r="A47" s="6" t="s">
        <v>1209</v>
      </c>
      <c r="B47" s="6" t="s">
        <v>1210</v>
      </c>
      <c r="C47" s="6" t="s">
        <v>1211</v>
      </c>
      <c r="D47" s="6" t="s">
        <v>1212</v>
      </c>
      <c r="E47" s="6" t="s">
        <v>1213</v>
      </c>
    </row>
    <row r="48" customFormat="false" ht="23.25" hidden="false" customHeight="true" outlineLevel="0" collapsed="false">
      <c r="A48" s="6" t="s">
        <v>1214</v>
      </c>
      <c r="B48" s="6" t="s">
        <v>1215</v>
      </c>
      <c r="C48" s="6" t="s">
        <v>1216</v>
      </c>
      <c r="D48" s="6" t="s">
        <v>1217</v>
      </c>
      <c r="E48" s="6" t="s">
        <v>1218</v>
      </c>
    </row>
    <row r="49" customFormat="false" ht="23.25" hidden="false" customHeight="true" outlineLevel="0" collapsed="false">
      <c r="A49" s="6" t="s">
        <v>1219</v>
      </c>
      <c r="B49" s="6" t="s">
        <v>1220</v>
      </c>
      <c r="C49" s="6" t="s">
        <v>1221</v>
      </c>
      <c r="D49" s="6" t="s">
        <v>1222</v>
      </c>
      <c r="E49" s="6" t="s">
        <v>1223</v>
      </c>
    </row>
    <row r="50" customFormat="false" ht="34.5" hidden="false" customHeight="true" outlineLevel="0" collapsed="false">
      <c r="A50" s="6" t="s">
        <v>1224</v>
      </c>
      <c r="B50" s="6" t="s">
        <v>1225</v>
      </c>
      <c r="C50" s="6" t="s">
        <v>1226</v>
      </c>
      <c r="D50" s="6" t="s">
        <v>1227</v>
      </c>
      <c r="E50" s="6" t="s">
        <v>1228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2026-04-10T19:47:49Z</dcterms:created>
  <dc:creator>openpyxl</dc:creator>
  <dc:description/>
  <dc:language>en-US</dc:language>
  <cp:lastModifiedBy/>
  <dcterms:modified xsi:type="dcterms:W3CDTF">2026-04-11T01:16:56Z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